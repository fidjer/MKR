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ихаил\Downloads\"/>
    </mc:Choice>
  </mc:AlternateContent>
  <bookViews>
    <workbookView xWindow="0" yWindow="0" windowWidth="23250" windowHeight="12480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9" i="1" l="1"/>
  <c r="T38" i="1" s="1"/>
  <c r="P11" i="1"/>
  <c r="P38" i="1" s="1"/>
  <c r="M9" i="1"/>
  <c r="J10" i="1"/>
  <c r="J37" i="1" s="1"/>
  <c r="H57" i="1"/>
  <c r="M71" i="1"/>
  <c r="T71" i="1"/>
  <c r="J61" i="1"/>
  <c r="P61" i="1"/>
  <c r="H61" i="1"/>
  <c r="V37" i="1"/>
  <c r="V38" i="1"/>
  <c r="V39" i="1"/>
  <c r="V40" i="1"/>
  <c r="V41" i="1"/>
  <c r="V42" i="1"/>
  <c r="V34" i="1"/>
  <c r="V35" i="1"/>
  <c r="V36" i="1"/>
  <c r="T39" i="1"/>
  <c r="T40" i="1"/>
  <c r="T41" i="1"/>
  <c r="M38" i="1"/>
  <c r="M39" i="1"/>
  <c r="M40" i="1"/>
  <c r="M41" i="1"/>
  <c r="M42" i="1"/>
  <c r="T42" i="1"/>
  <c r="P35" i="1"/>
  <c r="P36" i="1"/>
  <c r="P37" i="1"/>
  <c r="J35" i="1"/>
  <c r="J36" i="1"/>
  <c r="J34" i="1"/>
  <c r="P34" i="1"/>
  <c r="M43" i="1"/>
  <c r="T43" i="1"/>
  <c r="V43" i="1"/>
  <c r="V71" i="1" s="1"/>
  <c r="H43" i="1"/>
  <c r="H71" i="1" s="1"/>
  <c r="J33" i="1"/>
  <c r="P33" i="1"/>
  <c r="V33" i="1"/>
  <c r="V61" i="1" s="1"/>
  <c r="H36" i="1"/>
  <c r="H35" i="1"/>
  <c r="H37" i="1"/>
  <c r="H38" i="1"/>
  <c r="H39" i="1"/>
  <c r="H40" i="1"/>
  <c r="H41" i="1"/>
  <c r="H42" i="1"/>
  <c r="H34" i="1"/>
  <c r="Z12" i="1"/>
  <c r="H33" i="1"/>
  <c r="V47" i="1"/>
  <c r="V57" i="1"/>
  <c r="K57" i="1"/>
  <c r="L57" i="1"/>
  <c r="M57" i="1"/>
  <c r="N57" i="1"/>
  <c r="O57" i="1"/>
  <c r="P57" i="1"/>
  <c r="Q57" i="1"/>
  <c r="R57" i="1"/>
  <c r="S57" i="1"/>
  <c r="T57" i="1"/>
  <c r="U57" i="1"/>
  <c r="I57" i="1"/>
  <c r="J57" i="1"/>
  <c r="I47" i="1"/>
  <c r="H47" i="1"/>
  <c r="K47" i="1"/>
  <c r="L47" i="1"/>
  <c r="M47" i="1"/>
  <c r="N47" i="1"/>
  <c r="O47" i="1"/>
  <c r="P47" i="1"/>
  <c r="Q47" i="1"/>
  <c r="R47" i="1"/>
  <c r="S47" i="1"/>
  <c r="T47" i="1"/>
  <c r="U47" i="1"/>
  <c r="J47" i="1"/>
  <c r="Z13" i="1" l="1"/>
  <c r="P12" i="1"/>
  <c r="M8" i="1"/>
  <c r="M37" i="1" s="1"/>
  <c r="U6" i="1"/>
  <c r="K9" i="1"/>
  <c r="K8" i="1"/>
  <c r="P39" i="1" l="1"/>
  <c r="U33" i="1"/>
  <c r="U61" i="1" s="1"/>
  <c r="J50" i="1"/>
  <c r="J64" i="1" s="1"/>
  <c r="J51" i="1"/>
  <c r="J65" i="1" s="1"/>
  <c r="U48" i="1"/>
  <c r="V48" i="1"/>
  <c r="V62" i="1" s="1"/>
  <c r="U9" i="1"/>
  <c r="U10" i="1"/>
  <c r="U11" i="1"/>
  <c r="U12" i="1"/>
  <c r="U13" i="1"/>
  <c r="U42" i="1" s="1"/>
  <c r="U14" i="1"/>
  <c r="U43" i="1" s="1"/>
  <c r="U71" i="1" s="1"/>
  <c r="T6" i="1"/>
  <c r="T7" i="1"/>
  <c r="U7" i="1"/>
  <c r="T8" i="1"/>
  <c r="T37" i="1" s="1"/>
  <c r="U8" i="1"/>
  <c r="Q6" i="1"/>
  <c r="R6" i="1"/>
  <c r="S6" i="1"/>
  <c r="Q7" i="1"/>
  <c r="R7" i="1"/>
  <c r="S7" i="1"/>
  <c r="Q8" i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P13" i="1"/>
  <c r="Q13" i="1"/>
  <c r="Q42" i="1" s="1"/>
  <c r="R13" i="1"/>
  <c r="R42" i="1" s="1"/>
  <c r="S13" i="1"/>
  <c r="P14" i="1"/>
  <c r="P43" i="1" s="1"/>
  <c r="P71" i="1" s="1"/>
  <c r="Q14" i="1"/>
  <c r="Q43" i="1" s="1"/>
  <c r="Q71" i="1" s="1"/>
  <c r="R14" i="1"/>
  <c r="R43" i="1" s="1"/>
  <c r="R71" i="1" s="1"/>
  <c r="S14" i="1"/>
  <c r="N8" i="1"/>
  <c r="O8" i="1"/>
  <c r="N9" i="1"/>
  <c r="O9" i="1"/>
  <c r="N10" i="1"/>
  <c r="O10" i="1"/>
  <c r="N11" i="1"/>
  <c r="O11" i="1"/>
  <c r="N12" i="1"/>
  <c r="O12" i="1"/>
  <c r="N13" i="1"/>
  <c r="N42" i="1" s="1"/>
  <c r="O13" i="1"/>
  <c r="O42" i="1" s="1"/>
  <c r="N14" i="1"/>
  <c r="N43" i="1" s="1"/>
  <c r="N71" i="1" s="1"/>
  <c r="O14" i="1"/>
  <c r="O43" i="1" s="1"/>
  <c r="O71" i="1" s="1"/>
  <c r="O7" i="1"/>
  <c r="M6" i="1"/>
  <c r="N6" i="1"/>
  <c r="O6" i="1"/>
  <c r="M7" i="1"/>
  <c r="N7" i="1"/>
  <c r="L6" i="1"/>
  <c r="L7" i="1"/>
  <c r="L8" i="1"/>
  <c r="L9" i="1"/>
  <c r="L10" i="1"/>
  <c r="K6" i="1"/>
  <c r="K7" i="1"/>
  <c r="K10" i="1"/>
  <c r="K37" i="1" s="1"/>
  <c r="J14" i="1"/>
  <c r="J43" i="1" s="1"/>
  <c r="J71" i="1" s="1"/>
  <c r="K14" i="1"/>
  <c r="K43" i="1" s="1"/>
  <c r="K71" i="1" s="1"/>
  <c r="L14" i="1"/>
  <c r="J13" i="1"/>
  <c r="J42" i="1" s="1"/>
  <c r="K13" i="1"/>
  <c r="K42" i="1" s="1"/>
  <c r="L13" i="1"/>
  <c r="J12" i="1"/>
  <c r="K12" i="1"/>
  <c r="L12" i="1"/>
  <c r="J11" i="1"/>
  <c r="K11" i="1"/>
  <c r="K38" i="1" s="1"/>
  <c r="L11" i="1"/>
  <c r="I7" i="1"/>
  <c r="I8" i="1"/>
  <c r="I9" i="1"/>
  <c r="I10" i="1"/>
  <c r="I11" i="1"/>
  <c r="I12" i="1"/>
  <c r="I13" i="1"/>
  <c r="I42" i="1" s="1"/>
  <c r="I14" i="1"/>
  <c r="I43" i="1" s="1"/>
  <c r="I71" i="1" s="1"/>
  <c r="I6" i="1"/>
  <c r="R37" i="1" l="1"/>
  <c r="U37" i="1"/>
  <c r="Q40" i="1"/>
  <c r="R38" i="1"/>
  <c r="U40" i="1"/>
  <c r="Q37" i="1"/>
  <c r="I38" i="1"/>
  <c r="I37" i="1"/>
  <c r="U39" i="1"/>
  <c r="N41" i="1"/>
  <c r="R39" i="1"/>
  <c r="N38" i="1"/>
  <c r="Q39" i="1"/>
  <c r="I34" i="1"/>
  <c r="I36" i="1"/>
  <c r="O53" i="1"/>
  <c r="O40" i="1"/>
  <c r="R34" i="1"/>
  <c r="R36" i="1"/>
  <c r="K40" i="1"/>
  <c r="L56" i="1"/>
  <c r="L43" i="1"/>
  <c r="L71" i="1" s="1"/>
  <c r="L50" i="1"/>
  <c r="L37" i="1"/>
  <c r="O49" i="1"/>
  <c r="O34" i="1"/>
  <c r="O36" i="1"/>
  <c r="N40" i="1"/>
  <c r="R41" i="1"/>
  <c r="S51" i="1"/>
  <c r="S38" i="1"/>
  <c r="Q34" i="1"/>
  <c r="Q36" i="1"/>
  <c r="T48" i="1"/>
  <c r="T35" i="1"/>
  <c r="T33" i="1"/>
  <c r="T61" i="1" s="1"/>
  <c r="P41" i="1"/>
  <c r="K36" i="1"/>
  <c r="K34" i="1"/>
  <c r="K33" i="1"/>
  <c r="K61" i="1" s="1"/>
  <c r="K35" i="1"/>
  <c r="O50" i="1"/>
  <c r="O37" i="1"/>
  <c r="S52" i="1"/>
  <c r="S39" i="1"/>
  <c r="N35" i="1"/>
  <c r="N33" i="1"/>
  <c r="N61" i="1" s="1"/>
  <c r="P40" i="1"/>
  <c r="P42" i="1"/>
  <c r="U34" i="1"/>
  <c r="U62" i="1" s="1"/>
  <c r="U36" i="1"/>
  <c r="J41" i="1"/>
  <c r="J39" i="1"/>
  <c r="M36" i="1"/>
  <c r="M34" i="1"/>
  <c r="O48" i="1"/>
  <c r="O33" i="1"/>
  <c r="O61" i="1" s="1"/>
  <c r="O35" i="1"/>
  <c r="U38" i="1"/>
  <c r="L53" i="1"/>
  <c r="L40" i="1"/>
  <c r="M33" i="1"/>
  <c r="M61" i="1" s="1"/>
  <c r="M35" i="1"/>
  <c r="S54" i="1"/>
  <c r="S41" i="1"/>
  <c r="I41" i="1"/>
  <c r="Q41" i="1"/>
  <c r="S33" i="1"/>
  <c r="S61" i="1" s="1"/>
  <c r="S35" i="1"/>
  <c r="I40" i="1"/>
  <c r="L54" i="1"/>
  <c r="L41" i="1"/>
  <c r="N39" i="1"/>
  <c r="S53" i="1"/>
  <c r="S40" i="1"/>
  <c r="Q38" i="1"/>
  <c r="R35" i="1"/>
  <c r="R33" i="1"/>
  <c r="R61" i="1" s="1"/>
  <c r="L55" i="1"/>
  <c r="L42" i="1"/>
  <c r="O54" i="1"/>
  <c r="O41" i="1"/>
  <c r="I33" i="1"/>
  <c r="I61" i="1" s="1"/>
  <c r="I35" i="1"/>
  <c r="L52" i="1"/>
  <c r="L39" i="1"/>
  <c r="M50" i="1"/>
  <c r="N37" i="1"/>
  <c r="S36" i="1"/>
  <c r="S34" i="1"/>
  <c r="U35" i="1"/>
  <c r="L51" i="1"/>
  <c r="L38" i="1"/>
  <c r="S56" i="1"/>
  <c r="S43" i="1"/>
  <c r="S71" i="1" s="1"/>
  <c r="T34" i="1"/>
  <c r="T36" i="1"/>
  <c r="J40" i="1"/>
  <c r="J38" i="1"/>
  <c r="AB9" i="1" s="1"/>
  <c r="L36" i="1"/>
  <c r="L34" i="1"/>
  <c r="O52" i="1"/>
  <c r="O39" i="1"/>
  <c r="L35" i="1"/>
  <c r="L33" i="1"/>
  <c r="L61" i="1" s="1"/>
  <c r="I39" i="1"/>
  <c r="K41" i="1"/>
  <c r="K39" i="1"/>
  <c r="N36" i="1"/>
  <c r="N34" i="1"/>
  <c r="O51" i="1"/>
  <c r="O38" i="1"/>
  <c r="S55" i="1"/>
  <c r="S42" i="1"/>
  <c r="R40" i="1"/>
  <c r="S37" i="1"/>
  <c r="Q33" i="1"/>
  <c r="Q61" i="1" s="1"/>
  <c r="Q35" i="1"/>
  <c r="U41" i="1"/>
  <c r="O56" i="1"/>
  <c r="O70" i="1" s="1"/>
  <c r="M48" i="1"/>
  <c r="O55" i="1"/>
  <c r="AG10" i="1" s="1"/>
  <c r="R49" i="1"/>
  <c r="S48" i="1"/>
  <c r="R51" i="1"/>
  <c r="Q56" i="1"/>
  <c r="Q70" i="1" s="1"/>
  <c r="N49" i="1"/>
  <c r="R53" i="1"/>
  <c r="J53" i="1"/>
  <c r="J54" i="1"/>
  <c r="M49" i="1"/>
  <c r="R55" i="1"/>
  <c r="R50" i="1"/>
  <c r="K51" i="1"/>
  <c r="K65" i="1" s="1"/>
  <c r="K56" i="1"/>
  <c r="K70" i="1" s="1"/>
  <c r="Q54" i="1"/>
  <c r="K54" i="1"/>
  <c r="L48" i="1"/>
  <c r="S49" i="1"/>
  <c r="I54" i="1"/>
  <c r="H54" i="1"/>
  <c r="H68" i="1" s="1"/>
  <c r="V56" i="1"/>
  <c r="V70" i="1" s="1"/>
  <c r="U56" i="1"/>
  <c r="U70" i="1" s="1"/>
  <c r="T56" i="1"/>
  <c r="T70" i="1" s="1"/>
  <c r="H53" i="1"/>
  <c r="H67" i="1" s="1"/>
  <c r="I53" i="1"/>
  <c r="J56" i="1"/>
  <c r="J70" i="1" s="1"/>
  <c r="N56" i="1"/>
  <c r="N70" i="1" s="1"/>
  <c r="M56" i="1"/>
  <c r="M70" i="1" s="1"/>
  <c r="N52" i="1"/>
  <c r="M52" i="1"/>
  <c r="M66" i="1" s="1"/>
  <c r="P56" i="1"/>
  <c r="Q51" i="1"/>
  <c r="P51" i="1"/>
  <c r="P65" i="1" s="1"/>
  <c r="R48" i="1"/>
  <c r="U55" i="1"/>
  <c r="T55" i="1"/>
  <c r="T69" i="1" s="1"/>
  <c r="V55" i="1"/>
  <c r="V69" i="1" s="1"/>
  <c r="L49" i="1"/>
  <c r="I52" i="1"/>
  <c r="AA10" i="1" s="1"/>
  <c r="H52" i="1"/>
  <c r="K52" i="1"/>
  <c r="AC10" i="1" s="1"/>
  <c r="J52" i="1"/>
  <c r="AB10" i="1" s="1"/>
  <c r="S50" i="1"/>
  <c r="Q48" i="1"/>
  <c r="P48" i="1"/>
  <c r="P62" i="1" s="1"/>
  <c r="T54" i="1"/>
  <c r="T68" i="1" s="1"/>
  <c r="U54" i="1"/>
  <c r="V54" i="1"/>
  <c r="V68" i="1" s="1"/>
  <c r="N48" i="1"/>
  <c r="N54" i="1"/>
  <c r="AF10" i="1" s="1"/>
  <c r="M54" i="1"/>
  <c r="M68" i="1" s="1"/>
  <c r="N50" i="1"/>
  <c r="P55" i="1"/>
  <c r="R52" i="1"/>
  <c r="U49" i="1"/>
  <c r="V49" i="1"/>
  <c r="V63" i="1" s="1"/>
  <c r="U51" i="1"/>
  <c r="U65" i="1" s="1"/>
  <c r="T51" i="1"/>
  <c r="T65" i="1" s="1"/>
  <c r="V51" i="1"/>
  <c r="V65" i="1" s="1"/>
  <c r="P54" i="1"/>
  <c r="I51" i="1"/>
  <c r="H51" i="1"/>
  <c r="H65" i="1" s="1"/>
  <c r="J49" i="1"/>
  <c r="J63" i="1" s="1"/>
  <c r="K49" i="1"/>
  <c r="N55" i="1"/>
  <c r="M55" i="1"/>
  <c r="M69" i="1" s="1"/>
  <c r="V53" i="1"/>
  <c r="V67" i="1" s="1"/>
  <c r="U53" i="1"/>
  <c r="T53" i="1"/>
  <c r="T67" i="1" s="1"/>
  <c r="I50" i="1"/>
  <c r="H50" i="1"/>
  <c r="H64" i="1" s="1"/>
  <c r="K48" i="1"/>
  <c r="J48" i="1"/>
  <c r="J62" i="1" s="1"/>
  <c r="P50" i="1"/>
  <c r="P64" i="1" s="1"/>
  <c r="Q50" i="1"/>
  <c r="U52" i="1"/>
  <c r="T52" i="1"/>
  <c r="T66" i="1" s="1"/>
  <c r="V52" i="1"/>
  <c r="V66" i="1" s="1"/>
  <c r="H48" i="1"/>
  <c r="H62" i="1" s="1"/>
  <c r="I48" i="1"/>
  <c r="K55" i="1"/>
  <c r="Q52" i="1"/>
  <c r="P52" i="1"/>
  <c r="P66" i="1" s="1"/>
  <c r="T49" i="1"/>
  <c r="N51" i="1"/>
  <c r="M51" i="1"/>
  <c r="M65" i="1" s="1"/>
  <c r="P53" i="1"/>
  <c r="P67" i="1" s="1"/>
  <c r="Q53" i="1"/>
  <c r="V50" i="1"/>
  <c r="V64" i="1" s="1"/>
  <c r="U50" i="1"/>
  <c r="U64" i="1" s="1"/>
  <c r="Q55" i="1"/>
  <c r="T50" i="1"/>
  <c r="I49" i="1"/>
  <c r="H49" i="1"/>
  <c r="H63" i="1" s="1"/>
  <c r="I56" i="1"/>
  <c r="I70" i="1" s="1"/>
  <c r="H56" i="1"/>
  <c r="H70" i="1" s="1"/>
  <c r="J55" i="1"/>
  <c r="H55" i="1"/>
  <c r="H69" i="1" s="1"/>
  <c r="I55" i="1"/>
  <c r="K53" i="1"/>
  <c r="M53" i="1"/>
  <c r="M67" i="1" s="1"/>
  <c r="N53" i="1"/>
  <c r="R56" i="1"/>
  <c r="R70" i="1" s="1"/>
  <c r="R54" i="1"/>
  <c r="P49" i="1"/>
  <c r="P63" i="1" s="1"/>
  <c r="Q49" i="1"/>
  <c r="K50" i="1"/>
  <c r="Z25" i="1"/>
  <c r="Z26" i="1" s="1"/>
  <c r="AH20" i="1"/>
  <c r="Z20" i="1"/>
  <c r="AJ8" i="1"/>
  <c r="AK8" i="1"/>
  <c r="AL8" i="1"/>
  <c r="AM8" i="1"/>
  <c r="AN8" i="1"/>
  <c r="AI8" i="1"/>
  <c r="AH8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AJ10" i="1"/>
  <c r="AK10" i="1"/>
  <c r="AL10" i="1"/>
  <c r="AM10" i="1"/>
  <c r="AI10" i="1"/>
  <c r="AN10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I44" i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AN20" i="1" s="1"/>
  <c r="I16" i="1"/>
  <c r="AA7" i="1" s="1"/>
  <c r="G42" i="1"/>
  <c r="G41" i="1" s="1"/>
  <c r="G40" i="1" s="1"/>
  <c r="G39" i="1" s="1"/>
  <c r="G38" i="1" s="1"/>
  <c r="G37" i="1" s="1"/>
  <c r="G36" i="1" s="1"/>
  <c r="G35" i="1" s="1"/>
  <c r="G34" i="1" s="1"/>
  <c r="G33" i="1" s="1"/>
  <c r="AG8" i="1"/>
  <c r="R66" i="1" l="1"/>
  <c r="R65" i="1"/>
  <c r="N66" i="1"/>
  <c r="Q68" i="1"/>
  <c r="Q67" i="1"/>
  <c r="Q65" i="1"/>
  <c r="U68" i="1"/>
  <c r="L66" i="1"/>
  <c r="I66" i="1"/>
  <c r="O62" i="1"/>
  <c r="S68" i="1"/>
  <c r="R67" i="1"/>
  <c r="O67" i="1"/>
  <c r="I65" i="1"/>
  <c r="O69" i="1"/>
  <c r="U63" i="1"/>
  <c r="U67" i="1"/>
  <c r="L64" i="1"/>
  <c r="N69" i="1"/>
  <c r="K66" i="1"/>
  <c r="Q63" i="1"/>
  <c r="M63" i="1"/>
  <c r="S65" i="1"/>
  <c r="I62" i="1"/>
  <c r="N62" i="1"/>
  <c r="P70" i="1"/>
  <c r="K63" i="1"/>
  <c r="Q66" i="1"/>
  <c r="M62" i="1"/>
  <c r="S66" i="1"/>
  <c r="Q69" i="1"/>
  <c r="I69" i="1"/>
  <c r="J67" i="1"/>
  <c r="P69" i="1"/>
  <c r="R69" i="1"/>
  <c r="T64" i="1"/>
  <c r="S64" i="1"/>
  <c r="S69" i="1"/>
  <c r="N68" i="1"/>
  <c r="K68" i="1"/>
  <c r="T62" i="1"/>
  <c r="O63" i="1"/>
  <c r="T63" i="1"/>
  <c r="N67" i="1"/>
  <c r="R68" i="1"/>
  <c r="K67" i="1"/>
  <c r="L62" i="1"/>
  <c r="L69" i="1"/>
  <c r="J69" i="1"/>
  <c r="N63" i="1"/>
  <c r="Q64" i="1"/>
  <c r="R64" i="1"/>
  <c r="I64" i="1"/>
  <c r="U69" i="1"/>
  <c r="I63" i="1"/>
  <c r="K62" i="1"/>
  <c r="Q62" i="1"/>
  <c r="L65" i="1"/>
  <c r="R62" i="1"/>
  <c r="O65" i="1"/>
  <c r="U66" i="1"/>
  <c r="P68" i="1"/>
  <c r="N64" i="1"/>
  <c r="S70" i="1"/>
  <c r="K69" i="1"/>
  <c r="Z10" i="1"/>
  <c r="H66" i="1"/>
  <c r="I67" i="1"/>
  <c r="J66" i="1"/>
  <c r="I68" i="1"/>
  <c r="S67" i="1"/>
  <c r="K64" i="1"/>
  <c r="O68" i="1"/>
  <c r="L63" i="1"/>
  <c r="N65" i="1"/>
  <c r="L70" i="1"/>
  <c r="M64" i="1"/>
  <c r="O64" i="1"/>
  <c r="L67" i="1"/>
  <c r="O66" i="1"/>
  <c r="J68" i="1"/>
  <c r="S62" i="1"/>
  <c r="R63" i="1"/>
  <c r="S63" i="1"/>
  <c r="L68" i="1"/>
  <c r="J16" i="1"/>
  <c r="AB7" i="1" s="1"/>
  <c r="AH21" i="1"/>
  <c r="AA21" i="1"/>
  <c r="AI21" i="1"/>
  <c r="AB21" i="1"/>
  <c r="AJ21" i="1"/>
  <c r="AC21" i="1"/>
  <c r="AK21" i="1"/>
  <c r="AD21" i="1"/>
  <c r="AL21" i="1"/>
  <c r="AE21" i="1"/>
  <c r="AM21" i="1"/>
  <c r="AG21" i="1"/>
  <c r="Z21" i="1"/>
  <c r="AF21" i="1"/>
  <c r="AN21" i="1"/>
  <c r="Z9" i="1"/>
  <c r="Z22" i="1"/>
  <c r="Z19" i="1"/>
  <c r="Z23" i="1"/>
  <c r="AG20" i="1"/>
  <c r="AB11" i="1"/>
  <c r="AF20" i="1"/>
  <c r="AM20" i="1"/>
  <c r="AE20" i="1"/>
  <c r="AL20" i="1"/>
  <c r="AD20" i="1"/>
  <c r="AK20" i="1"/>
  <c r="AC20" i="1"/>
  <c r="AJ20" i="1"/>
  <c r="AB20" i="1"/>
  <c r="AI20" i="1"/>
  <c r="AA20" i="1"/>
  <c r="AG9" i="1"/>
  <c r="AG11" i="1" s="1"/>
  <c r="AC9" i="1"/>
  <c r="AC11" i="1" s="1"/>
  <c r="AF9" i="1"/>
  <c r="AF11" i="1" s="1"/>
  <c r="AJ9" i="1"/>
  <c r="AJ11" i="1" s="1"/>
  <c r="AH10" i="1"/>
  <c r="AE10" i="1"/>
  <c r="Z11" i="1" l="1"/>
  <c r="K16" i="1"/>
  <c r="L16" i="1" s="1"/>
  <c r="AF8" i="1"/>
  <c r="AA19" i="1"/>
  <c r="Z24" i="1"/>
  <c r="AC7" i="1"/>
  <c r="AM9" i="1"/>
  <c r="AM11" i="1" s="1"/>
  <c r="AA9" i="1"/>
  <c r="AA11" i="1" s="1"/>
  <c r="AI9" i="1"/>
  <c r="AI11" i="1" s="1"/>
  <c r="AH9" i="1"/>
  <c r="AH11" i="1" s="1"/>
  <c r="AD9" i="1"/>
  <c r="AL9" i="1"/>
  <c r="AL11" i="1" s="1"/>
  <c r="AD10" i="1"/>
  <c r="AA12" i="1" l="1"/>
  <c r="AA13" i="1" s="1"/>
  <c r="AD7" i="1"/>
  <c r="M16" i="1"/>
  <c r="AB19" i="1"/>
  <c r="AB22" i="1"/>
  <c r="AE8" i="1"/>
  <c r="AE9" i="1"/>
  <c r="AE11" i="1" s="1"/>
  <c r="AD11" i="1"/>
  <c r="AK9" i="1"/>
  <c r="AK11" i="1" s="1"/>
  <c r="AB12" i="1" l="1"/>
  <c r="AC12" i="1" s="1"/>
  <c r="AC19" i="1"/>
  <c r="AC22" i="1"/>
  <c r="AA23" i="1"/>
  <c r="AA8" i="1"/>
  <c r="AB8" i="1"/>
  <c r="AC8" i="1"/>
  <c r="AD8" i="1"/>
  <c r="Z8" i="1"/>
  <c r="N16" i="1"/>
  <c r="AE7" i="1"/>
  <c r="AA22" i="1"/>
  <c r="AB13" i="1" l="1"/>
  <c r="AA24" i="1"/>
  <c r="AA25" i="1" s="1"/>
  <c r="AA26" i="1" s="1"/>
  <c r="O16" i="1"/>
  <c r="AF7" i="1"/>
  <c r="AD19" i="1"/>
  <c r="AD22" i="1"/>
  <c r="AB23" i="1"/>
  <c r="AB24" i="1" s="1"/>
  <c r="AC13" i="1"/>
  <c r="AD12" i="1"/>
  <c r="AB25" i="1" l="1"/>
  <c r="AB26" i="1" s="1"/>
  <c r="AE19" i="1"/>
  <c r="AE22" i="1"/>
  <c r="AC23" i="1"/>
  <c r="AC24" i="1" s="1"/>
  <c r="AN9" i="1"/>
  <c r="AN11" i="1" s="1"/>
  <c r="P16" i="1"/>
  <c r="AG7" i="1"/>
  <c r="AD13" i="1"/>
  <c r="AE12" i="1"/>
  <c r="AC25" i="1" l="1"/>
  <c r="AC26" i="1" s="1"/>
  <c r="Q16" i="1"/>
  <c r="AH7" i="1"/>
  <c r="AF19" i="1"/>
  <c r="AF22" i="1"/>
  <c r="AD23" i="1"/>
  <c r="AD24" i="1" s="1"/>
  <c r="AE13" i="1"/>
  <c r="AF12" i="1"/>
  <c r="AD25" i="1" l="1"/>
  <c r="AD26" i="1" s="1"/>
  <c r="AG19" i="1"/>
  <c r="AG22" i="1"/>
  <c r="AE23" i="1"/>
  <c r="AE24" i="1" s="1"/>
  <c r="R16" i="1"/>
  <c r="AI7" i="1"/>
  <c r="AG12" i="1"/>
  <c r="AF13" i="1"/>
  <c r="AE25" i="1" l="1"/>
  <c r="AE26" i="1" s="1"/>
  <c r="S16" i="1"/>
  <c r="AJ7" i="1"/>
  <c r="AH19" i="1"/>
  <c r="AH22" i="1"/>
  <c r="AF23" i="1"/>
  <c r="AF24" i="1" s="1"/>
  <c r="AG13" i="1"/>
  <c r="AH12" i="1"/>
  <c r="AF25" i="1" l="1"/>
  <c r="AF26" i="1" s="1"/>
  <c r="AI19" i="1"/>
  <c r="AI22" i="1"/>
  <c r="AG23" i="1"/>
  <c r="AG24" i="1" s="1"/>
  <c r="T16" i="1"/>
  <c r="AK7" i="1"/>
  <c r="AI12" i="1"/>
  <c r="AH13" i="1"/>
  <c r="AG25" i="1" l="1"/>
  <c r="AG26" i="1" s="1"/>
  <c r="AJ19" i="1"/>
  <c r="AJ22" i="1"/>
  <c r="AH23" i="1"/>
  <c r="AH24" i="1" s="1"/>
  <c r="U16" i="1"/>
  <c r="AL7" i="1"/>
  <c r="AJ12" i="1"/>
  <c r="AI13" i="1"/>
  <c r="AH25" i="1" l="1"/>
  <c r="AH26" i="1" s="1"/>
  <c r="V16" i="1"/>
  <c r="AN7" i="1" s="1"/>
  <c r="AM7" i="1"/>
  <c r="AK19" i="1"/>
  <c r="AK22" i="1"/>
  <c r="AI23" i="1"/>
  <c r="AI24" i="1" s="1"/>
  <c r="AK12" i="1"/>
  <c r="AJ13" i="1"/>
  <c r="AI25" i="1" l="1"/>
  <c r="AI26" i="1" s="1"/>
  <c r="AL19" i="1"/>
  <c r="AL22" i="1"/>
  <c r="AJ23" i="1"/>
  <c r="AJ24" i="1" s="1"/>
  <c r="AL12" i="1"/>
  <c r="AK13" i="1"/>
  <c r="AJ25" i="1" l="1"/>
  <c r="AJ26" i="1" s="1"/>
  <c r="AM23" i="1"/>
  <c r="AM19" i="1"/>
  <c r="AM22" i="1"/>
  <c r="AK23" i="1"/>
  <c r="AK24" i="1" s="1"/>
  <c r="AL13" i="1"/>
  <c r="AM12" i="1"/>
  <c r="AK25" i="1" l="1"/>
  <c r="AK26" i="1" s="1"/>
  <c r="AM24" i="1"/>
  <c r="AN22" i="1"/>
  <c r="AN19" i="1"/>
  <c r="AN23" i="1"/>
  <c r="AL23" i="1"/>
  <c r="AL24" i="1" s="1"/>
  <c r="AN12" i="1"/>
  <c r="AN13" i="1" s="1"/>
  <c r="AM13" i="1"/>
  <c r="AL25" i="1" l="1"/>
  <c r="AL26" i="1" s="1"/>
  <c r="AN24" i="1"/>
  <c r="AM25" i="1" l="1"/>
  <c r="AM26" i="1" s="1"/>
  <c r="AN25" i="1" l="1"/>
  <c r="AN26" i="1" s="1"/>
</calcChain>
</file>

<file path=xl/sharedStrings.xml><?xml version="1.0" encoding="utf-8"?>
<sst xmlns="http://schemas.openxmlformats.org/spreadsheetml/2006/main" count="29" uniqueCount="17">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</sst>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2" xfId="1" applyNumberFormat="1" applyFont="1" applyFill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0" xfId="1" applyNumberFormat="1" applyFont="1" applyFill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1" applyNumberFormat="1" applyFont="1" applyAlignment="1">
      <alignment horizontal="center"/>
    </xf>
    <xf numFmtId="1" fontId="0" fillId="0" borderId="1" xfId="0" applyNumberForma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164" fontId="0" fillId="3" borderId="0" xfId="1" applyNumberFormat="1" applyFont="1" applyFill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5" borderId="1" xfId="1" applyNumberFormat="1" applyFont="1" applyFill="1" applyBorder="1" applyAlignment="1">
      <alignment horizontal="center"/>
    </xf>
    <xf numFmtId="2" fontId="0" fillId="6" borderId="1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colors>
    <mruColors>
      <color rgb="FFEDAFD5"/>
      <color rgb="FFBA6EA8"/>
      <color rgb="FFBAA7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scatterChart>
        <c:scatterStyle val="smoothMarker"/>
        <c:varyColors val="0"/>
        <c:ser>
          <c:idx val="2"/>
          <c:order val="1"/>
          <c:tx>
            <c:v>верхняя стенка</c:v>
          </c:tx>
          <c:spPr>
            <a:ln w="28575" cap="rnd">
              <a:solidFill>
                <a:srgbClr val="EDAFD5"/>
              </a:solidFill>
              <a:round/>
            </a:ln>
            <a:effectLst/>
          </c:spPr>
          <c:marker>
            <c:symbol val="none"/>
          </c:marker>
          <c:xVal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</c:numCache>
            </c:numRef>
          </c:xVal>
          <c:y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10.506366931983406</c:v>
                </c:pt>
                <c:pt idx="2">
                  <c:v>11.111111111111111</c:v>
                </c:pt>
                <c:pt idx="3">
                  <c:v>11.110854735343827</c:v>
                </c:pt>
                <c:pt idx="4">
                  <c:v>11.110730279548054</c:v>
                </c:pt>
                <c:pt idx="5">
                  <c:v>11.110892211482051</c:v>
                </c:pt>
                <c:pt idx="6">
                  <c:v>11.111027868961779</c:v>
                </c:pt>
                <c:pt idx="7">
                  <c:v>11.111092897916645</c:v>
                </c:pt>
                <c:pt idx="8">
                  <c:v>11.111111111111111</c:v>
                </c:pt>
                <c:pt idx="9">
                  <c:v>11.104831665354917</c:v>
                </c:pt>
                <c:pt idx="10">
                  <c:v>11.078087542416373</c:v>
                </c:pt>
                <c:pt idx="11">
                  <c:v>10.995931788690861</c:v>
                </c:pt>
                <c:pt idx="12">
                  <c:v>10.749426331990495</c:v>
                </c:pt>
                <c:pt idx="13">
                  <c:v>10.042692926659139</c:v>
                </c:pt>
                <c:pt idx="14">
                  <c:v>8.3333333333333339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56688"/>
        <c:axId val="272841504"/>
      </c:scatterChart>
      <c:scatterChart>
        <c:scatterStyle val="smoothMarker"/>
        <c:varyColors val="0"/>
        <c:ser>
          <c:idx val="1"/>
          <c:order val="0"/>
          <c:tx>
            <c:v>нижняя стенка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</c:numCache>
            </c:numRef>
          </c:xVal>
          <c:y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1.1670942967793154</c:v>
                </c:pt>
                <c:pt idx="2">
                  <c:v>0.85323145422036761</c:v>
                </c:pt>
                <c:pt idx="3">
                  <c:v>1.4188034437360733</c:v>
                </c:pt>
                <c:pt idx="4">
                  <c:v>1.4973606884648971</c:v>
                </c:pt>
                <c:pt idx="5">
                  <c:v>1.5258113145173411</c:v>
                </c:pt>
                <c:pt idx="6">
                  <c:v>1.5258576317612702</c:v>
                </c:pt>
                <c:pt idx="7">
                  <c:v>1.5258444453034381</c:v>
                </c:pt>
                <c:pt idx="8">
                  <c:v>1.525805726626972</c:v>
                </c:pt>
                <c:pt idx="9">
                  <c:v>1.5257649820993215</c:v>
                </c:pt>
                <c:pt idx="10">
                  <c:v>1.5257595988073283</c:v>
                </c:pt>
                <c:pt idx="11">
                  <c:v>1.5258231286661532</c:v>
                </c:pt>
                <c:pt idx="12">
                  <c:v>1.5258724840925424</c:v>
                </c:pt>
                <c:pt idx="13">
                  <c:v>3.6015574909526754E-2</c:v>
                </c:pt>
                <c:pt idx="14">
                  <c:v>-9.585238627018569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83432"/>
        <c:axId val="272057736"/>
      </c:scatterChart>
      <c:valAx>
        <c:axId val="27465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2841504"/>
        <c:crosses val="autoZero"/>
        <c:crossBetween val="midCat"/>
        <c:minorUnit val="1"/>
      </c:valAx>
      <c:valAx>
        <c:axId val="27284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4656688"/>
        <c:crosses val="autoZero"/>
        <c:crossBetween val="midCat"/>
      </c:valAx>
      <c:valAx>
        <c:axId val="27205773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72183432"/>
        <c:crosses val="max"/>
        <c:crossBetween val="midCat"/>
      </c:valAx>
      <c:valAx>
        <c:axId val="272183432"/>
        <c:scaling>
          <c:orientation val="minMax"/>
        </c:scaling>
        <c:delete val="0"/>
        <c:axPos val="t"/>
        <c:numFmt formatCode="0.00" sourceLinked="1"/>
        <c:majorTickMark val="out"/>
        <c:minorTickMark val="none"/>
        <c:tickLblPos val="nextTo"/>
        <c:crossAx val="272057736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156913</xdr:colOff>
      <xdr:row>73</xdr:row>
      <xdr:rowOff>147356</xdr:rowOff>
    </xdr:from>
    <xdr:to>
      <xdr:col>16</xdr:col>
      <xdr:colOff>79386</xdr:colOff>
      <xdr:row>99</xdr:row>
      <xdr:rowOff>99300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</cdr:x>
      <cdr:y>0.00455</cdr:y>
    </cdr:from>
    <cdr:to>
      <cdr:x>0.07805</cdr:x>
      <cdr:y>0.10193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0" y="21771"/>
          <a:ext cx="509674" cy="4659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latin typeface="Arial Black" pitchFamily="34" charset="0"/>
            </a:rPr>
            <a:t>Cp</a:t>
          </a:r>
          <a:endParaRPr lang="ru-RU" sz="1400" b="1">
            <a:latin typeface="Arial Black" pitchFamily="34" charset="0"/>
          </a:endParaRPr>
        </a:p>
      </cdr:txBody>
    </cdr:sp>
  </cdr:relSizeAnchor>
  <cdr:relSizeAnchor xmlns:cdr="http://schemas.openxmlformats.org/drawingml/2006/chartDrawing">
    <cdr:from>
      <cdr:x>0.89282</cdr:x>
      <cdr:y>0.50835</cdr:y>
    </cdr:from>
    <cdr:to>
      <cdr:x>1</cdr:x>
      <cdr:y>0.61982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30206" y="2432551"/>
          <a:ext cx="699896" cy="5334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 Black" pitchFamily="34" charset="0"/>
            </a:rPr>
            <a:t>X, </a:t>
          </a:r>
          <a:r>
            <a:rPr lang="ru-RU" sz="1400">
              <a:latin typeface="Arial Black" pitchFamily="34" charset="0"/>
            </a:rPr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topLeftCell="A43" zoomScale="70" zoomScaleNormal="70" workbookViewId="0">
      <selection activeCell="H19" sqref="H19:V29"/>
    </sheetView>
  </sheetViews>
  <sheetFormatPr defaultRowHeight="15" x14ac:dyDescent="0.25"/>
  <cols>
    <col min="1" max="1" width="9.28515625" customWidth="1"/>
    <col min="7" max="7" width="6" bestFit="1" customWidth="1"/>
    <col min="8" max="22" width="7.7109375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40" x14ac:dyDescent="0.25">
      <c r="A2" s="1" t="s">
        <v>0</v>
      </c>
      <c r="B2" s="4">
        <v>0.1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40" x14ac:dyDescent="0.25">
      <c r="B3" s="3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40" x14ac:dyDescent="0.25">
      <c r="A4" s="1" t="s">
        <v>1</v>
      </c>
      <c r="B4" s="4">
        <v>30</v>
      </c>
      <c r="F4" s="3"/>
      <c r="G4" s="10"/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3"/>
    </row>
    <row r="5" spans="1:40" x14ac:dyDescent="0.25">
      <c r="A5" s="1" t="s">
        <v>2</v>
      </c>
      <c r="B5" s="4">
        <v>101325</v>
      </c>
      <c r="F5" s="18" t="s">
        <v>9</v>
      </c>
      <c r="G5" s="11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4">
        <v>11</v>
      </c>
      <c r="Y5" s="21">
        <v>0</v>
      </c>
      <c r="Z5" s="21">
        <v>1</v>
      </c>
      <c r="AA5" s="21">
        <v>2</v>
      </c>
      <c r="AB5" s="21">
        <v>3</v>
      </c>
      <c r="AC5" s="21">
        <v>4</v>
      </c>
      <c r="AD5" s="21">
        <v>5</v>
      </c>
      <c r="AE5" s="21">
        <v>6</v>
      </c>
      <c r="AF5" s="21">
        <v>7</v>
      </c>
      <c r="AG5" s="21">
        <v>8</v>
      </c>
      <c r="AH5" s="21">
        <v>9</v>
      </c>
      <c r="AI5" s="21">
        <v>10</v>
      </c>
      <c r="AJ5" s="21">
        <v>11</v>
      </c>
      <c r="AK5" s="21">
        <v>12</v>
      </c>
      <c r="AL5" s="21">
        <v>13</v>
      </c>
      <c r="AM5" s="21">
        <v>14</v>
      </c>
      <c r="AN5" s="21">
        <v>15</v>
      </c>
    </row>
    <row r="6" spans="1:40" x14ac:dyDescent="0.25">
      <c r="A6" s="1" t="s">
        <v>3</v>
      </c>
      <c r="B6" s="4">
        <v>15</v>
      </c>
      <c r="F6" s="3"/>
      <c r="G6" s="11">
        <v>2</v>
      </c>
      <c r="H6" s="25">
        <v>10</v>
      </c>
      <c r="I6" s="25">
        <f>0.25*(I19+J20+I21+H20)</f>
        <v>3.6664794909192224</v>
      </c>
      <c r="J6" s="13">
        <v>0</v>
      </c>
      <c r="K6" s="25">
        <f t="shared" ref="K6:L6" si="0">0.25*(K19+L20+K21+J20)</f>
        <v>3.6169051641878211E-2</v>
      </c>
      <c r="L6" s="25">
        <f t="shared" si="0"/>
        <v>4.8605826636657842E-2</v>
      </c>
      <c r="M6" s="25">
        <f t="shared" ref="M6:O6" si="1">0.25*(M19+N20+M21+L20)</f>
        <v>4.1164892159617855E-2</v>
      </c>
      <c r="N6" s="25">
        <f t="shared" si="1"/>
        <v>2.7282296505623305E-2</v>
      </c>
      <c r="O6" s="25">
        <f t="shared" si="1"/>
        <v>1.3222100088305343E-2</v>
      </c>
      <c r="P6" s="13">
        <v>0</v>
      </c>
      <c r="Q6" s="25">
        <f t="shared" ref="Q6:S6" si="2">0.25*(Q19+R20+Q21+P20)</f>
        <v>0.2841149264158277</v>
      </c>
      <c r="R6" s="25">
        <f t="shared" si="2"/>
        <v>0.66100199677433058</v>
      </c>
      <c r="S6" s="25">
        <f t="shared" si="2"/>
        <v>1.2695502569060859</v>
      </c>
      <c r="T6" s="25">
        <f t="shared" ref="T6" si="3">0.25*(T19+U20+T21+S20)</f>
        <v>2.3809143014551335</v>
      </c>
      <c r="U6" s="25">
        <f>0.25*(U19+V20+U21+T20)</f>
        <v>4.645693314079244</v>
      </c>
      <c r="V6" s="25">
        <v>10</v>
      </c>
      <c r="W6" s="4">
        <v>10</v>
      </c>
      <c r="Y6" s="22" t="s">
        <v>9</v>
      </c>
      <c r="Z6" s="5">
        <f>H10</f>
        <v>10</v>
      </c>
      <c r="AA6" s="5">
        <f t="shared" ref="AA6:AD6" si="4">I10</f>
        <v>6.2942136655181047</v>
      </c>
      <c r="AB6" s="5">
        <f t="shared" si="4"/>
        <v>3.0292166156976554</v>
      </c>
      <c r="AC6" s="5">
        <f t="shared" si="4"/>
        <v>1.6919899172380202</v>
      </c>
      <c r="AD6" s="5">
        <f t="shared" si="4"/>
        <v>0.80236141828801633</v>
      </c>
      <c r="AE6" s="5">
        <f>M11</f>
        <v>0</v>
      </c>
      <c r="AF6" s="5">
        <f>N12</f>
        <v>1.9583607338723136E-2</v>
      </c>
      <c r="AG6" s="5">
        <f>O13</f>
        <v>2.9620922551833559E-2</v>
      </c>
      <c r="AH6" s="5">
        <f>P14</f>
        <v>2.3679283161297963E-2</v>
      </c>
      <c r="AI6" s="5">
        <f>Q15</f>
        <v>0</v>
      </c>
      <c r="AJ6" s="5">
        <f t="shared" ref="AJ6:AN6" si="5">R15</f>
        <v>0</v>
      </c>
      <c r="AK6" s="5">
        <f t="shared" si="5"/>
        <v>0</v>
      </c>
      <c r="AL6" s="5">
        <f t="shared" si="5"/>
        <v>0</v>
      </c>
      <c r="AM6" s="5">
        <f t="shared" si="5"/>
        <v>0</v>
      </c>
      <c r="AN6" s="5">
        <f t="shared" si="5"/>
        <v>0</v>
      </c>
    </row>
    <row r="7" spans="1:40" x14ac:dyDescent="0.25">
      <c r="B7" s="3"/>
      <c r="F7" s="3"/>
      <c r="G7" s="11">
        <v>3</v>
      </c>
      <c r="H7" s="25">
        <v>10</v>
      </c>
      <c r="I7" s="25">
        <f t="shared" ref="I7:L14" si="6">0.25*(I20+J21+I22+H21)</f>
        <v>4.6659179641949677</v>
      </c>
      <c r="J7" s="13">
        <v>0</v>
      </c>
      <c r="K7" s="25">
        <f t="shared" ref="K7:L7" si="7">0.25*(K20+L21+K22+J21)</f>
        <v>9.6070430527278983E-2</v>
      </c>
      <c r="L7" s="25">
        <f t="shared" si="7"/>
        <v>0.11708943705767136</v>
      </c>
      <c r="M7" s="25">
        <f t="shared" ref="M7:N8" si="8">0.25*(M20+N21+M22+L21)</f>
        <v>8.8771541870588278E-2</v>
      </c>
      <c r="N7" s="25">
        <f t="shared" si="8"/>
        <v>5.4742281432493343E-2</v>
      </c>
      <c r="O7" s="25">
        <f>0.25*(O20+P21+O22+N21)</f>
        <v>2.560615162503007E-2</v>
      </c>
      <c r="P7" s="13">
        <v>0</v>
      </c>
      <c r="Q7" s="25">
        <f t="shared" ref="Q7:S7" si="9">0.25*(Q20+R21+Q22+P21)</f>
        <v>0.47545772390719343</v>
      </c>
      <c r="R7" s="25">
        <f t="shared" si="9"/>
        <v>1.0903432821868912</v>
      </c>
      <c r="S7" s="25">
        <f t="shared" si="9"/>
        <v>2.0362847559045214</v>
      </c>
      <c r="T7" s="25">
        <f t="shared" ref="T7:U7" si="10">0.25*(T20+U21+T22+S21)</f>
        <v>3.6084140627624772</v>
      </c>
      <c r="U7" s="25">
        <f t="shared" si="10"/>
        <v>6.2018589664931403</v>
      </c>
      <c r="V7" s="25">
        <v>10</v>
      </c>
      <c r="W7" s="4">
        <v>9</v>
      </c>
      <c r="Y7" s="5" t="s">
        <v>12</v>
      </c>
      <c r="Z7" s="5">
        <f>H16</f>
        <v>0</v>
      </c>
      <c r="AA7" s="5">
        <f t="shared" ref="AA7:AN7" si="11">I16</f>
        <v>0.1</v>
      </c>
      <c r="AB7" s="5">
        <f t="shared" si="11"/>
        <v>0.2</v>
      </c>
      <c r="AC7" s="5">
        <f t="shared" si="11"/>
        <v>0.30000000000000004</v>
      </c>
      <c r="AD7" s="5">
        <f t="shared" si="11"/>
        <v>0.4</v>
      </c>
      <c r="AE7" s="5">
        <f t="shared" si="11"/>
        <v>0.5</v>
      </c>
      <c r="AF7" s="5">
        <f t="shared" si="11"/>
        <v>0.6</v>
      </c>
      <c r="AG7" s="5">
        <f t="shared" si="11"/>
        <v>0.7</v>
      </c>
      <c r="AH7" s="5">
        <f t="shared" si="11"/>
        <v>0.79999999999999993</v>
      </c>
      <c r="AI7" s="5">
        <f t="shared" si="11"/>
        <v>0.89999999999999991</v>
      </c>
      <c r="AJ7" s="5">
        <f t="shared" si="11"/>
        <v>0.99999999999999989</v>
      </c>
      <c r="AK7" s="5">
        <f t="shared" si="11"/>
        <v>1.0999999999999999</v>
      </c>
      <c r="AL7" s="5">
        <f t="shared" si="11"/>
        <v>1.2</v>
      </c>
      <c r="AM7" s="5">
        <f t="shared" si="11"/>
        <v>1.3</v>
      </c>
      <c r="AN7" s="5">
        <f t="shared" si="11"/>
        <v>1.4000000000000001</v>
      </c>
    </row>
    <row r="8" spans="1:40" x14ac:dyDescent="0.25">
      <c r="A8" s="1" t="s">
        <v>4</v>
      </c>
      <c r="B8" s="4">
        <v>50</v>
      </c>
      <c r="C8">
        <v>50</v>
      </c>
      <c r="F8" s="3"/>
      <c r="G8" s="11">
        <v>4</v>
      </c>
      <c r="H8" s="25">
        <v>10</v>
      </c>
      <c r="I8" s="25">
        <f t="shared" si="6"/>
        <v>4.9971923663214319</v>
      </c>
      <c r="J8" s="13">
        <v>0</v>
      </c>
      <c r="K8" s="25">
        <f>0.25*(K21+L22+K23+J22)</f>
        <v>0.23102330606740015</v>
      </c>
      <c r="L8" s="25">
        <f t="shared" ref="L8" si="12">0.25*(L21+M22+L23+K22)</f>
        <v>0.23491009785333669</v>
      </c>
      <c r="M8" s="25">
        <f t="shared" si="8"/>
        <v>0.1420897228198208</v>
      </c>
      <c r="N8" s="25">
        <f t="shared" ref="N8:O8" si="13">0.25*(N21+O22+N23+M22)</f>
        <v>7.7309277925725381E-2</v>
      </c>
      <c r="O8" s="25">
        <f t="shared" si="13"/>
        <v>3.4460332260822388E-2</v>
      </c>
      <c r="P8" s="13">
        <v>0</v>
      </c>
      <c r="Q8" s="25">
        <f t="shared" ref="Q8:S8" si="14">0.25*(Q21+R22+Q23+P22)</f>
        <v>0.52737322122367292</v>
      </c>
      <c r="R8" s="25">
        <f t="shared" si="14"/>
        <v>1.1886286990899957</v>
      </c>
      <c r="S8" s="25">
        <f t="shared" si="14"/>
        <v>2.1768323610793674</v>
      </c>
      <c r="T8" s="25">
        <f t="shared" ref="T8:U8" si="15">0.25*(T21+U22+T23+S22)</f>
        <v>3.8145982652251327</v>
      </c>
      <c r="U8" s="25">
        <f t="shared" si="15"/>
        <v>6.5533288994601193</v>
      </c>
      <c r="V8" s="25">
        <v>10</v>
      </c>
      <c r="W8" s="4">
        <v>8</v>
      </c>
      <c r="Y8" s="5" t="s">
        <v>13</v>
      </c>
      <c r="Z8" s="5">
        <f>$G10</f>
        <v>6</v>
      </c>
      <c r="AA8" s="5">
        <f t="shared" ref="AA8:AD8" si="16">$G10</f>
        <v>6</v>
      </c>
      <c r="AB8" s="5">
        <f t="shared" si="16"/>
        <v>6</v>
      </c>
      <c r="AC8" s="5">
        <f t="shared" si="16"/>
        <v>6</v>
      </c>
      <c r="AD8" s="5">
        <f t="shared" si="16"/>
        <v>6</v>
      </c>
      <c r="AE8" s="5">
        <f>G11</f>
        <v>5</v>
      </c>
      <c r="AF8" s="5">
        <f>G12</f>
        <v>4</v>
      </c>
      <c r="AG8" s="5">
        <f>G13</f>
        <v>3</v>
      </c>
      <c r="AH8" s="5">
        <f>G14</f>
        <v>2</v>
      </c>
      <c r="AI8" s="5">
        <f>$G15</f>
        <v>0</v>
      </c>
      <c r="AJ8" s="5">
        <f t="shared" ref="AJ8:AN8" si="17">$G15</f>
        <v>0</v>
      </c>
      <c r="AK8" s="5">
        <f t="shared" si="17"/>
        <v>0</v>
      </c>
      <c r="AL8" s="5">
        <f t="shared" si="17"/>
        <v>0</v>
      </c>
      <c r="AM8" s="5">
        <f t="shared" si="17"/>
        <v>0</v>
      </c>
      <c r="AN8" s="5">
        <f t="shared" si="17"/>
        <v>0</v>
      </c>
    </row>
    <row r="9" spans="1:40" x14ac:dyDescent="0.25">
      <c r="B9" s="3"/>
      <c r="F9" s="3"/>
      <c r="G9" s="11">
        <v>5</v>
      </c>
      <c r="H9" s="25">
        <v>10</v>
      </c>
      <c r="I9" s="25">
        <f t="shared" si="6"/>
        <v>5.3228515067100526</v>
      </c>
      <c r="J9" s="13">
        <v>0</v>
      </c>
      <c r="K9" s="25">
        <f>0.25*(K22+L23+K24+J23)</f>
        <v>0.59311280612427908</v>
      </c>
      <c r="L9" s="25">
        <f t="shared" ref="L9:M9" si="18">0.25*(L22+M23+L24+K23)</f>
        <v>0.44943808069541591</v>
      </c>
      <c r="M9" s="25">
        <f t="shared" si="18"/>
        <v>0.16736815832241997</v>
      </c>
      <c r="N9" s="25">
        <f t="shared" ref="N9:O9" si="19">0.25*(N22+O23+N24+M23)</f>
        <v>7.7945001697409005E-2</v>
      </c>
      <c r="O9" s="25">
        <f t="shared" si="19"/>
        <v>3.4925995934952936E-2</v>
      </c>
      <c r="P9" s="13">
        <v>0</v>
      </c>
      <c r="Q9" s="25">
        <f t="shared" ref="Q9:T9" si="20">0.25*(Q22+R23+Q24+P23)</f>
        <v>0.44540650389428715</v>
      </c>
      <c r="R9" s="25">
        <f t="shared" si="20"/>
        <v>0.95996707781515134</v>
      </c>
      <c r="S9" s="25">
        <f t="shared" si="20"/>
        <v>1.6678177880902791</v>
      </c>
      <c r="T9" s="25">
        <f t="shared" si="20"/>
        <v>2.9198186014425027</v>
      </c>
      <c r="U9" s="25">
        <f t="shared" ref="U9" si="21">0.25*(U22+V23+U24+T23)</f>
        <v>6.1968583897307736</v>
      </c>
      <c r="V9" s="25">
        <v>10</v>
      </c>
      <c r="W9" s="4">
        <v>7</v>
      </c>
      <c r="Y9" s="5" t="s">
        <v>10</v>
      </c>
      <c r="Z9" s="5">
        <f>H38</f>
        <v>0</v>
      </c>
      <c r="AA9" s="5">
        <f>I38</f>
        <v>-7.5096754389580278</v>
      </c>
      <c r="AB9" s="5">
        <f t="shared" ref="AB9:AD9" si="22">J38</f>
        <v>-20.653314566374554</v>
      </c>
      <c r="AC9" s="5">
        <f t="shared" si="22"/>
        <v>-8.7507808032898673</v>
      </c>
      <c r="AD9" s="5">
        <f t="shared" si="22"/>
        <v>-3.0928983051442072</v>
      </c>
      <c r="AE9" s="5">
        <f>M39</f>
        <v>0</v>
      </c>
      <c r="AF9" s="5">
        <f>N40</f>
        <v>4.665879687786019E-2</v>
      </c>
      <c r="AG9" s="5">
        <f>O41</f>
        <v>0.12792382281211065</v>
      </c>
      <c r="AH9" s="5">
        <f>P42</f>
        <v>0.24228744427911664</v>
      </c>
      <c r="AI9" s="5">
        <f t="shared" ref="AI9:AM9" si="23">Q43</f>
        <v>0.31104950392139097</v>
      </c>
      <c r="AJ9" s="5">
        <f t="shared" si="23"/>
        <v>0.31874246138935564</v>
      </c>
      <c r="AK9" s="5">
        <f t="shared" si="23"/>
        <v>0.21076025185682748</v>
      </c>
      <c r="AL9" s="5">
        <f t="shared" si="23"/>
        <v>0</v>
      </c>
      <c r="AM9" s="5">
        <f t="shared" si="23"/>
        <v>36.617908436511108</v>
      </c>
      <c r="AN9" s="5">
        <f>V43</f>
        <v>100</v>
      </c>
    </row>
    <row r="10" spans="1:40" x14ac:dyDescent="0.25">
      <c r="A10" s="1" t="s">
        <v>5</v>
      </c>
      <c r="B10" s="4">
        <v>15</v>
      </c>
      <c r="F10" s="3"/>
      <c r="G10" s="11">
        <v>6</v>
      </c>
      <c r="H10" s="25">
        <v>10</v>
      </c>
      <c r="I10" s="25">
        <f t="shared" si="6"/>
        <v>6.2942136655181047</v>
      </c>
      <c r="J10" s="25">
        <f t="shared" si="6"/>
        <v>3.0292166156976554</v>
      </c>
      <c r="K10" s="25">
        <f t="shared" ref="K10:L10" si="24">0.25*(K23+L24+K25+J24)</f>
        <v>1.6919899172380202</v>
      </c>
      <c r="L10" s="25">
        <f t="shared" si="24"/>
        <v>0.80236141828801633</v>
      </c>
      <c r="M10" s="13">
        <v>0</v>
      </c>
      <c r="N10" s="25">
        <f t="shared" ref="N10:O10" si="25">0.25*(N23+O24+N25+M24)</f>
        <v>3.2176711036263406E-2</v>
      </c>
      <c r="O10" s="25">
        <f t="shared" si="25"/>
        <v>2.7298889900570375E-2</v>
      </c>
      <c r="P10" s="13">
        <v>0</v>
      </c>
      <c r="Q10" s="25">
        <f t="shared" ref="Q10:S10" si="26">0.25*(Q23+R24+Q25+P24)</f>
        <v>0.29428658038486455</v>
      </c>
      <c r="R10" s="25">
        <f t="shared" si="26"/>
        <v>0.53801540007948656</v>
      </c>
      <c r="S10" s="25">
        <f t="shared" si="26"/>
        <v>0.6146542736446774</v>
      </c>
      <c r="T10" s="13">
        <v>0</v>
      </c>
      <c r="U10" s="25">
        <f t="shared" ref="U10" si="27">0.25*(U23+V24+U25+T24)</f>
        <v>5.3142864106902028</v>
      </c>
      <c r="V10" s="25">
        <v>10</v>
      </c>
      <c r="W10" s="4">
        <v>6</v>
      </c>
      <c r="Y10" s="5" t="s">
        <v>11</v>
      </c>
      <c r="Z10" s="5">
        <f>H52</f>
        <v>37.057863344818948</v>
      </c>
      <c r="AA10" s="5">
        <f t="shared" ref="AA10:AD10" si="28">I52</f>
        <v>16.324985249102244</v>
      </c>
      <c r="AB10" s="5">
        <f t="shared" si="28"/>
        <v>13.372266984596353</v>
      </c>
      <c r="AC10" s="5">
        <f t="shared" si="28"/>
        <v>4.4481424947500185</v>
      </c>
      <c r="AD10" s="5">
        <f t="shared" si="28"/>
        <v>4.0118070914400814</v>
      </c>
      <c r="AE10" s="5">
        <f>M53</f>
        <v>-0.23463294245070077</v>
      </c>
      <c r="AF10" s="5">
        <f>N54</f>
        <v>-0.10578305544832141</v>
      </c>
      <c r="AG10" s="5">
        <f>O55</f>
        <v>-9.4182831519948843E-2</v>
      </c>
      <c r="AH10" s="5">
        <f>P56</f>
        <v>-3.7128336154205674E-2</v>
      </c>
      <c r="AI10" s="5">
        <f>Q57</f>
        <v>0</v>
      </c>
      <c r="AJ10" s="5">
        <f t="shared" ref="AJ10:AN10" si="29">R57</f>
        <v>0</v>
      </c>
      <c r="AK10" s="5">
        <f t="shared" si="29"/>
        <v>0</v>
      </c>
      <c r="AL10" s="5">
        <f t="shared" si="29"/>
        <v>0</v>
      </c>
      <c r="AM10" s="5">
        <f t="shared" si="29"/>
        <v>0</v>
      </c>
      <c r="AN10" s="5">
        <f t="shared" si="29"/>
        <v>0</v>
      </c>
    </row>
    <row r="11" spans="1:40" x14ac:dyDescent="0.25">
      <c r="A11" s="1" t="s">
        <v>6</v>
      </c>
      <c r="B11" s="4">
        <v>11</v>
      </c>
      <c r="F11" s="3"/>
      <c r="G11" s="11">
        <v>5</v>
      </c>
      <c r="H11" s="25">
        <v>10</v>
      </c>
      <c r="I11" s="25">
        <f t="shared" si="6"/>
        <v>6.8247865945016581</v>
      </c>
      <c r="J11" s="25">
        <f t="shared" si="6"/>
        <v>4.1306629132749109</v>
      </c>
      <c r="K11" s="25">
        <f t="shared" si="6"/>
        <v>2.3432689667822526</v>
      </c>
      <c r="L11" s="25">
        <f t="shared" si="6"/>
        <v>1.0680177417242573</v>
      </c>
      <c r="M11" s="13">
        <v>0</v>
      </c>
      <c r="N11" s="25">
        <f t="shared" ref="N11:P11" si="30">0.25*(N24+O25+N26+M25)</f>
        <v>2.3463294245070078E-2</v>
      </c>
      <c r="O11" s="25">
        <f t="shared" si="30"/>
        <v>4.2092932586105226E-2</v>
      </c>
      <c r="P11" s="25">
        <f t="shared" si="30"/>
        <v>7.6870212935324811E-2</v>
      </c>
      <c r="Q11" s="25">
        <f t="shared" ref="Q11:S11" si="31">0.25*(Q24+R25+Q26+P25)</f>
        <v>0.19372449455411955</v>
      </c>
      <c r="R11" s="25">
        <f t="shared" si="31"/>
        <v>0.28315502659665864</v>
      </c>
      <c r="S11" s="25">
        <f t="shared" si="31"/>
        <v>0.252783972234085</v>
      </c>
      <c r="T11" s="13">
        <v>0</v>
      </c>
      <c r="U11" s="25">
        <f t="shared" ref="U11" si="32">0.25*(U24+V25+U26+T25)</f>
        <v>5.0602872587074605</v>
      </c>
      <c r="V11" s="25">
        <v>10</v>
      </c>
      <c r="W11" s="4">
        <v>5</v>
      </c>
      <c r="Y11" s="5" t="s">
        <v>14</v>
      </c>
      <c r="Z11" s="5">
        <f>((Z9)^2+(Z10)^2)^0.5</f>
        <v>37.057863344818948</v>
      </c>
      <c r="AA11" s="5">
        <f t="shared" ref="AA11:AN11" si="33">((AA9)^2+(AA10)^2)^0.5</f>
        <v>17.969428721634291</v>
      </c>
      <c r="AB11" s="5">
        <f t="shared" si="33"/>
        <v>24.604408687975919</v>
      </c>
      <c r="AC11" s="5">
        <f t="shared" si="33"/>
        <v>9.8164217676721375</v>
      </c>
      <c r="AD11" s="5">
        <f t="shared" si="33"/>
        <v>5.0656308654394504</v>
      </c>
      <c r="AE11" s="5">
        <f t="shared" si="33"/>
        <v>0.23463294245070077</v>
      </c>
      <c r="AF11" s="5">
        <f t="shared" si="33"/>
        <v>0.11561616732132257</v>
      </c>
      <c r="AG11" s="5">
        <f t="shared" si="33"/>
        <v>0.15885499739063719</v>
      </c>
      <c r="AH11" s="5">
        <f t="shared" si="33"/>
        <v>0.24511572573151186</v>
      </c>
      <c r="AI11" s="5">
        <f t="shared" si="33"/>
        <v>0.31104950392139097</v>
      </c>
      <c r="AJ11" s="5">
        <f t="shared" si="33"/>
        <v>0.31874246138935564</v>
      </c>
      <c r="AK11" s="5">
        <f t="shared" si="33"/>
        <v>0.21076025185682748</v>
      </c>
      <c r="AL11" s="5">
        <f t="shared" si="33"/>
        <v>0</v>
      </c>
      <c r="AM11" s="5">
        <f t="shared" si="33"/>
        <v>36.617908436511108</v>
      </c>
      <c r="AN11" s="5">
        <f t="shared" si="33"/>
        <v>100</v>
      </c>
    </row>
    <row r="12" spans="1:40" x14ac:dyDescent="0.25">
      <c r="A12" s="1" t="s">
        <v>7</v>
      </c>
      <c r="B12" s="4">
        <v>15</v>
      </c>
      <c r="F12" s="19"/>
      <c r="G12" s="11">
        <v>4</v>
      </c>
      <c r="H12" s="25">
        <v>10</v>
      </c>
      <c r="I12" s="25">
        <f t="shared" si="6"/>
        <v>6.8742698196484868</v>
      </c>
      <c r="J12" s="25">
        <f t="shared" si="6"/>
        <v>4.3253796073998148</v>
      </c>
      <c r="K12" s="25">
        <f t="shared" si="6"/>
        <v>2.4824053452345645</v>
      </c>
      <c r="L12" s="25">
        <f t="shared" si="6"/>
        <v>1.1264406845846824</v>
      </c>
      <c r="M12" s="13">
        <v>0</v>
      </c>
      <c r="N12" s="25">
        <f t="shared" ref="N12:O12" si="34">0.25*(N25+O26+N27+M26)</f>
        <v>1.9583607338723136E-2</v>
      </c>
      <c r="O12" s="25">
        <f t="shared" si="34"/>
        <v>4.0740218428387417E-2</v>
      </c>
      <c r="P12" s="25">
        <f t="shared" ref="P12:S13" si="35">0.25*(P25+Q26+P27+O26)</f>
        <v>7.1663527934073892E-2</v>
      </c>
      <c r="Q12" s="25">
        <f t="shared" ref="Q12:S12" si="36">0.25*(Q25+R26+Q27+P26)</f>
        <v>0.12058764453230737</v>
      </c>
      <c r="R12" s="25">
        <f t="shared" si="36"/>
        <v>0.14809635450097228</v>
      </c>
      <c r="S12" s="25">
        <f t="shared" si="36"/>
        <v>0.11332753595150541</v>
      </c>
      <c r="T12" s="13">
        <v>0</v>
      </c>
      <c r="U12" s="25">
        <f t="shared" ref="U12" si="37">0.25*(U25+V26+U27+T26)</f>
        <v>4.9268626582071153</v>
      </c>
      <c r="V12" s="25">
        <v>10</v>
      </c>
      <c r="W12" s="4">
        <v>4</v>
      </c>
      <c r="Y12" s="5" t="s">
        <v>15</v>
      </c>
      <c r="Z12" s="8">
        <f>B5</f>
        <v>101325</v>
      </c>
      <c r="AA12" s="8">
        <f>(Z12+(Z11^2)/2)-(AA11^2)/2</f>
        <v>101850.19243355069</v>
      </c>
      <c r="AB12" s="8">
        <f t="shared" ref="AB12:AN12" si="38">(AA12+(AA11^2)/2)-(AB11^2)/2</f>
        <v>101708.95415439917</v>
      </c>
      <c r="AC12" s="8">
        <f t="shared" si="38"/>
        <v>101963.46154968123</v>
      </c>
      <c r="AD12" s="8">
        <f t="shared" si="38"/>
        <v>101998.8123098092</v>
      </c>
      <c r="AE12" s="8">
        <f t="shared" si="38"/>
        <v>102011.6150915328</v>
      </c>
      <c r="AF12" s="8">
        <f t="shared" si="38"/>
        <v>102011.63593429257</v>
      </c>
      <c r="AG12" s="8">
        <f t="shared" si="38"/>
        <v>102011.63000038655</v>
      </c>
      <c r="AH12" s="8">
        <f t="shared" si="38"/>
        <v>102011.61257698214</v>
      </c>
      <c r="AI12" s="8">
        <f t="shared" si="38"/>
        <v>102011.59424194469</v>
      </c>
      <c r="AJ12" s="8">
        <f t="shared" si="38"/>
        <v>102011.5918194633</v>
      </c>
      <c r="AK12" s="8">
        <f t="shared" si="38"/>
        <v>102011.62040789977</v>
      </c>
      <c r="AL12" s="8">
        <f t="shared" si="38"/>
        <v>102011.64261784164</v>
      </c>
      <c r="AM12" s="8">
        <f t="shared" si="38"/>
        <v>101341.20700870929</v>
      </c>
      <c r="AN12" s="8">
        <f t="shared" si="38"/>
        <v>97011.642617841644</v>
      </c>
    </row>
    <row r="13" spans="1:40" x14ac:dyDescent="0.25">
      <c r="A13" s="1" t="s">
        <v>8</v>
      </c>
      <c r="B13" s="4">
        <v>6</v>
      </c>
      <c r="F13" s="3"/>
      <c r="G13" s="11">
        <v>3</v>
      </c>
      <c r="H13" s="25">
        <v>10</v>
      </c>
      <c r="I13" s="25">
        <f t="shared" si="6"/>
        <v>6.3469131561967034</v>
      </c>
      <c r="J13" s="25">
        <f t="shared" si="6"/>
        <v>3.8141803842556676</v>
      </c>
      <c r="K13" s="25">
        <f t="shared" si="6"/>
        <v>2.1345322613308593</v>
      </c>
      <c r="L13" s="25">
        <f t="shared" si="6"/>
        <v>0.95533967768156369</v>
      </c>
      <c r="M13" s="13">
        <v>0</v>
      </c>
      <c r="N13" s="25">
        <f t="shared" ref="N13:O13" si="39">0.25*(N26+O27+N28+M27)</f>
        <v>1.4131534869498039E-2</v>
      </c>
      <c r="O13" s="25">
        <f t="shared" si="39"/>
        <v>2.9620922551833559E-2</v>
      </c>
      <c r="P13" s="25">
        <f t="shared" si="35"/>
        <v>4.8457488855823329E-2</v>
      </c>
      <c r="Q13" s="25">
        <f t="shared" si="35"/>
        <v>6.8866342588008334E-2</v>
      </c>
      <c r="R13" s="25">
        <f t="shared" si="35"/>
        <v>7.5316682389854339E-2</v>
      </c>
      <c r="S13" s="25">
        <f t="shared" si="35"/>
        <v>5.2429886752985169E-2</v>
      </c>
      <c r="T13" s="13">
        <v>0</v>
      </c>
      <c r="U13" s="25">
        <f t="shared" ref="U13" si="40">0.25*(U26+V27+U28+T27)</f>
        <v>4.6471633746489704</v>
      </c>
      <c r="V13" s="25">
        <v>10</v>
      </c>
      <c r="W13" s="4">
        <v>3</v>
      </c>
      <c r="Y13" s="5" t="s">
        <v>16</v>
      </c>
      <c r="Z13" s="5">
        <f>(Z12-$B$5)/(($B$4^2)/2)</f>
        <v>0</v>
      </c>
      <c r="AA13" s="5">
        <f t="shared" ref="AA13:AN13" si="41">(AA12-$B$5)/(($B$4^2)/2)</f>
        <v>1.1670942967793154</v>
      </c>
      <c r="AB13" s="5">
        <f t="shared" si="41"/>
        <v>0.85323145422036761</v>
      </c>
      <c r="AC13" s="5">
        <f t="shared" si="41"/>
        <v>1.4188034437360733</v>
      </c>
      <c r="AD13" s="5">
        <f t="shared" si="41"/>
        <v>1.4973606884648971</v>
      </c>
      <c r="AE13" s="5">
        <f t="shared" si="41"/>
        <v>1.5258113145173411</v>
      </c>
      <c r="AF13" s="5">
        <f t="shared" si="41"/>
        <v>1.5258576317612702</v>
      </c>
      <c r="AG13" s="5">
        <f t="shared" si="41"/>
        <v>1.5258444453034381</v>
      </c>
      <c r="AH13" s="5">
        <f t="shared" si="41"/>
        <v>1.525805726626972</v>
      </c>
      <c r="AI13" s="5">
        <f t="shared" si="41"/>
        <v>1.5257649820993215</v>
      </c>
      <c r="AJ13" s="5">
        <f t="shared" si="41"/>
        <v>1.5257595988073283</v>
      </c>
      <c r="AK13" s="5">
        <f t="shared" si="41"/>
        <v>1.5258231286661532</v>
      </c>
      <c r="AL13" s="5">
        <f t="shared" si="41"/>
        <v>1.5258724840925424</v>
      </c>
      <c r="AM13" s="5">
        <f t="shared" si="41"/>
        <v>3.6015574909526754E-2</v>
      </c>
      <c r="AN13" s="5">
        <f t="shared" si="41"/>
        <v>-9.585238627018569</v>
      </c>
    </row>
    <row r="14" spans="1:40" x14ac:dyDescent="0.25">
      <c r="A14" s="2" t="s">
        <v>9</v>
      </c>
      <c r="B14" s="4">
        <v>0</v>
      </c>
      <c r="F14" s="3"/>
      <c r="G14" s="11">
        <v>2</v>
      </c>
      <c r="H14" s="25">
        <v>10</v>
      </c>
      <c r="I14" s="25">
        <f t="shared" si="6"/>
        <v>4.6992024345436114</v>
      </c>
      <c r="J14" s="25">
        <f t="shared" si="6"/>
        <v>2.4498966175162886</v>
      </c>
      <c r="K14" s="25">
        <f t="shared" si="6"/>
        <v>1.2862036632330529</v>
      </c>
      <c r="L14" s="25">
        <f t="shared" si="6"/>
        <v>0.56038583319676349</v>
      </c>
      <c r="M14" s="13">
        <v>0</v>
      </c>
      <c r="N14" s="25">
        <f t="shared" ref="N14:O14" si="42">0.25*(N27+O28+N29+M28)</f>
        <v>7.3216667766504914E-3</v>
      </c>
      <c r="O14" s="25">
        <f t="shared" si="42"/>
        <v>1.5155453865965285E-2</v>
      </c>
      <c r="P14" s="25">
        <f t="shared" ref="P14:S14" si="43">0.25*(P27+Q28+P29+O28)</f>
        <v>2.3679283161297963E-2</v>
      </c>
      <c r="Q14" s="25">
        <f t="shared" si="43"/>
        <v>3.1104950392139098E-2</v>
      </c>
      <c r="R14" s="25">
        <f t="shared" si="43"/>
        <v>3.1874246138935566E-2</v>
      </c>
      <c r="S14" s="25">
        <f t="shared" si="43"/>
        <v>2.1076025185682749E-2</v>
      </c>
      <c r="T14" s="13">
        <v>0</v>
      </c>
      <c r="U14" s="25">
        <f t="shared" ref="U14" si="44">0.25*(U27+V28+U29+T28)</f>
        <v>3.6617908436511111</v>
      </c>
      <c r="V14" s="25">
        <v>10</v>
      </c>
      <c r="W14" s="4">
        <v>2</v>
      </c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0" x14ac:dyDescent="0.25">
      <c r="F15" s="3"/>
      <c r="G15" s="11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4">
        <v>1</v>
      </c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0" x14ac:dyDescent="0.25">
      <c r="F16" s="3"/>
      <c r="G16" s="10"/>
      <c r="H16" s="11">
        <v>0</v>
      </c>
      <c r="I16" s="11">
        <f>H16+$B$2</f>
        <v>0.1</v>
      </c>
      <c r="J16" s="11">
        <f t="shared" ref="J16:V16" si="45">I16+$B$2</f>
        <v>0.2</v>
      </c>
      <c r="K16" s="11">
        <f t="shared" si="45"/>
        <v>0.30000000000000004</v>
      </c>
      <c r="L16" s="11">
        <f t="shared" si="45"/>
        <v>0.4</v>
      </c>
      <c r="M16" s="11">
        <f t="shared" si="45"/>
        <v>0.5</v>
      </c>
      <c r="N16" s="11">
        <f t="shared" si="45"/>
        <v>0.6</v>
      </c>
      <c r="O16" s="11">
        <f t="shared" si="45"/>
        <v>0.7</v>
      </c>
      <c r="P16" s="11">
        <f t="shared" si="45"/>
        <v>0.79999999999999993</v>
      </c>
      <c r="Q16" s="11">
        <f t="shared" si="45"/>
        <v>0.89999999999999991</v>
      </c>
      <c r="R16" s="11">
        <f t="shared" si="45"/>
        <v>0.99999999999999989</v>
      </c>
      <c r="S16" s="11">
        <f t="shared" si="45"/>
        <v>1.0999999999999999</v>
      </c>
      <c r="T16" s="11">
        <f t="shared" si="45"/>
        <v>1.2</v>
      </c>
      <c r="U16" s="11">
        <f t="shared" si="45"/>
        <v>1.3</v>
      </c>
      <c r="V16" s="11">
        <f t="shared" si="45"/>
        <v>1.4000000000000001</v>
      </c>
      <c r="W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6:40" x14ac:dyDescent="0.25">
      <c r="F17" s="3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6:40" x14ac:dyDescent="0.25">
      <c r="F18" s="3"/>
      <c r="G18" s="10"/>
      <c r="H18" s="15">
        <v>1</v>
      </c>
      <c r="I18" s="15">
        <v>2</v>
      </c>
      <c r="J18" s="15">
        <v>3</v>
      </c>
      <c r="K18" s="15">
        <v>4</v>
      </c>
      <c r="L18" s="15">
        <v>5</v>
      </c>
      <c r="M18" s="15">
        <v>6</v>
      </c>
      <c r="N18" s="15">
        <v>7</v>
      </c>
      <c r="O18" s="15">
        <v>8</v>
      </c>
      <c r="P18" s="15">
        <v>9</v>
      </c>
      <c r="Q18" s="15">
        <v>10</v>
      </c>
      <c r="R18" s="15">
        <v>11</v>
      </c>
      <c r="S18" s="15">
        <v>12</v>
      </c>
      <c r="T18" s="15">
        <v>13</v>
      </c>
      <c r="U18" s="15">
        <v>14</v>
      </c>
      <c r="V18" s="15">
        <v>15</v>
      </c>
      <c r="W18" s="6"/>
      <c r="Y18" s="21">
        <v>0</v>
      </c>
      <c r="Z18" s="21">
        <v>1</v>
      </c>
      <c r="AA18" s="21">
        <v>2</v>
      </c>
      <c r="AB18" s="21">
        <v>3</v>
      </c>
      <c r="AC18" s="21">
        <v>4</v>
      </c>
      <c r="AD18" s="21">
        <v>5</v>
      </c>
      <c r="AE18" s="21">
        <v>6</v>
      </c>
      <c r="AF18" s="21">
        <v>7</v>
      </c>
      <c r="AG18" s="21">
        <v>8</v>
      </c>
      <c r="AH18" s="21">
        <v>9</v>
      </c>
      <c r="AI18" s="21">
        <v>10</v>
      </c>
      <c r="AJ18" s="21">
        <v>11</v>
      </c>
      <c r="AK18" s="21">
        <v>12</v>
      </c>
      <c r="AL18" s="21">
        <v>13</v>
      </c>
      <c r="AM18" s="21">
        <v>14</v>
      </c>
      <c r="AN18" s="21">
        <v>15</v>
      </c>
    </row>
    <row r="19" spans="6:40" x14ac:dyDescent="0.25">
      <c r="F19" s="3"/>
      <c r="G19" s="11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  <c r="V19" s="26">
        <v>0</v>
      </c>
      <c r="W19" s="6"/>
      <c r="Y19" s="22" t="s">
        <v>9</v>
      </c>
      <c r="Z19" s="5">
        <f>H5</f>
        <v>0</v>
      </c>
      <c r="AA19" s="5">
        <f t="shared" ref="AA19:AN19" si="46">I5</f>
        <v>0</v>
      </c>
      <c r="AB19" s="5">
        <f t="shared" si="46"/>
        <v>0</v>
      </c>
      <c r="AC19" s="5">
        <f t="shared" si="46"/>
        <v>0</v>
      </c>
      <c r="AD19" s="5">
        <f t="shared" si="46"/>
        <v>0</v>
      </c>
      <c r="AE19" s="5">
        <f t="shared" si="46"/>
        <v>0</v>
      </c>
      <c r="AF19" s="5">
        <f t="shared" si="46"/>
        <v>0</v>
      </c>
      <c r="AG19" s="5">
        <f t="shared" si="46"/>
        <v>0</v>
      </c>
      <c r="AH19" s="5">
        <f t="shared" si="46"/>
        <v>0</v>
      </c>
      <c r="AI19" s="5">
        <f t="shared" si="46"/>
        <v>0</v>
      </c>
      <c r="AJ19" s="5">
        <f t="shared" si="46"/>
        <v>0</v>
      </c>
      <c r="AK19" s="5">
        <f t="shared" si="46"/>
        <v>0</v>
      </c>
      <c r="AL19" s="5">
        <f t="shared" si="46"/>
        <v>0</v>
      </c>
      <c r="AM19" s="5">
        <f t="shared" si="46"/>
        <v>0</v>
      </c>
      <c r="AN19" s="5">
        <f t="shared" si="46"/>
        <v>0</v>
      </c>
    </row>
    <row r="20" spans="6:40" x14ac:dyDescent="0.25">
      <c r="F20" s="3"/>
      <c r="G20" s="11">
        <v>2</v>
      </c>
      <c r="H20" s="27">
        <v>10</v>
      </c>
      <c r="I20" s="27">
        <v>3.6664794908834146</v>
      </c>
      <c r="J20" s="26">
        <v>0</v>
      </c>
      <c r="K20" s="27">
        <v>3.616904007406354E-2</v>
      </c>
      <c r="L20" s="27">
        <v>4.8605801928092024E-2</v>
      </c>
      <c r="M20" s="27">
        <v>4.1164866304103757E-2</v>
      </c>
      <c r="N20" s="27">
        <v>2.7282272605249375E-2</v>
      </c>
      <c r="O20" s="27">
        <v>1.322208469248738E-2</v>
      </c>
      <c r="P20" s="26">
        <v>0</v>
      </c>
      <c r="Q20" s="27">
        <v>0.28411484507945839</v>
      </c>
      <c r="R20" s="27">
        <v>0.6610019898781121</v>
      </c>
      <c r="S20" s="27">
        <v>1.269550108602115</v>
      </c>
      <c r="T20" s="27">
        <v>2.3809142955269937</v>
      </c>
      <c r="U20" s="27">
        <v>4.6456932466961138</v>
      </c>
      <c r="V20" s="27">
        <v>10</v>
      </c>
      <c r="W20" s="6"/>
      <c r="Y20" s="5" t="s">
        <v>12</v>
      </c>
      <c r="Z20" s="5">
        <f>H30</f>
        <v>0</v>
      </c>
      <c r="AA20" s="5">
        <f t="shared" ref="AA20:AN20" si="47">I30</f>
        <v>0.1</v>
      </c>
      <c r="AB20" s="5">
        <f t="shared" si="47"/>
        <v>0.2</v>
      </c>
      <c r="AC20" s="5">
        <f t="shared" si="47"/>
        <v>0.30000000000000004</v>
      </c>
      <c r="AD20" s="5">
        <f t="shared" si="47"/>
        <v>0.4</v>
      </c>
      <c r="AE20" s="5">
        <f t="shared" si="47"/>
        <v>0.5</v>
      </c>
      <c r="AF20" s="5">
        <f t="shared" si="47"/>
        <v>0.6</v>
      </c>
      <c r="AG20" s="5">
        <f t="shared" si="47"/>
        <v>0.7</v>
      </c>
      <c r="AH20" s="5">
        <f t="shared" si="47"/>
        <v>0.79999999999999993</v>
      </c>
      <c r="AI20" s="5">
        <f t="shared" si="47"/>
        <v>0.89999999999999991</v>
      </c>
      <c r="AJ20" s="5">
        <f t="shared" si="47"/>
        <v>0.99999999999999989</v>
      </c>
      <c r="AK20" s="5">
        <f t="shared" si="47"/>
        <v>1.0999999999999999</v>
      </c>
      <c r="AL20" s="5">
        <f t="shared" si="47"/>
        <v>1.2</v>
      </c>
      <c r="AM20" s="5">
        <f t="shared" si="47"/>
        <v>1.3</v>
      </c>
      <c r="AN20" s="5">
        <f t="shared" si="47"/>
        <v>1.4000000000000001</v>
      </c>
    </row>
    <row r="21" spans="6:40" x14ac:dyDescent="0.25">
      <c r="F21" s="3"/>
      <c r="G21" s="11">
        <v>2</v>
      </c>
      <c r="H21" s="27">
        <v>10</v>
      </c>
      <c r="I21" s="27">
        <v>4.6659179636768888</v>
      </c>
      <c r="J21" s="26">
        <v>0</v>
      </c>
      <c r="K21" s="27">
        <v>9.607040463942082E-2</v>
      </c>
      <c r="L21" s="27">
        <v>0.11708940016846407</v>
      </c>
      <c r="M21" s="27">
        <v>8.8771494105130022E-2</v>
      </c>
      <c r="N21" s="27">
        <v>5.4742235025902072E-2</v>
      </c>
      <c r="O21" s="27">
        <v>2.5606127747971996E-2</v>
      </c>
      <c r="P21" s="26">
        <v>0</v>
      </c>
      <c r="Q21" s="27">
        <v>0.4754577157851988</v>
      </c>
      <c r="R21" s="27">
        <v>1.0903430334157485</v>
      </c>
      <c r="S21" s="27">
        <v>2.0362847422192374</v>
      </c>
      <c r="T21" s="27">
        <v>3.608413850522306</v>
      </c>
      <c r="U21" s="27">
        <v>6.2018589607899832</v>
      </c>
      <c r="V21" s="27">
        <v>10</v>
      </c>
      <c r="W21" s="6"/>
      <c r="Y21" s="5" t="s">
        <v>13</v>
      </c>
      <c r="Z21" s="5">
        <f>$G$19</f>
        <v>0</v>
      </c>
      <c r="AA21" s="5">
        <f t="shared" ref="AA21:AN21" si="48">$G$19</f>
        <v>0</v>
      </c>
      <c r="AB21" s="5">
        <f t="shared" si="48"/>
        <v>0</v>
      </c>
      <c r="AC21" s="5">
        <f t="shared" si="48"/>
        <v>0</v>
      </c>
      <c r="AD21" s="5">
        <f t="shared" si="48"/>
        <v>0</v>
      </c>
      <c r="AE21" s="5">
        <f t="shared" si="48"/>
        <v>0</v>
      </c>
      <c r="AF21" s="5">
        <f t="shared" si="48"/>
        <v>0</v>
      </c>
      <c r="AG21" s="5">
        <f t="shared" si="48"/>
        <v>0</v>
      </c>
      <c r="AH21" s="5">
        <f t="shared" si="48"/>
        <v>0</v>
      </c>
      <c r="AI21" s="5">
        <f t="shared" si="48"/>
        <v>0</v>
      </c>
      <c r="AJ21" s="5">
        <f t="shared" si="48"/>
        <v>0</v>
      </c>
      <c r="AK21" s="5">
        <f t="shared" si="48"/>
        <v>0</v>
      </c>
      <c r="AL21" s="5">
        <f t="shared" si="48"/>
        <v>0</v>
      </c>
      <c r="AM21" s="5">
        <f t="shared" si="48"/>
        <v>0</v>
      </c>
      <c r="AN21" s="5">
        <f t="shared" si="48"/>
        <v>0</v>
      </c>
    </row>
    <row r="22" spans="6:40" x14ac:dyDescent="0.25">
      <c r="F22" s="3"/>
      <c r="G22" s="11">
        <v>2</v>
      </c>
      <c r="H22" s="27">
        <v>10</v>
      </c>
      <c r="I22" s="27">
        <v>4.9971923658964545</v>
      </c>
      <c r="J22" s="26">
        <v>0</v>
      </c>
      <c r="K22" s="27">
        <v>0.2310232818665883</v>
      </c>
      <c r="L22" s="27">
        <v>0.23491004755804251</v>
      </c>
      <c r="M22" s="26">
        <v>0.14208966598388323</v>
      </c>
      <c r="N22" s="27">
        <v>7.7309231271621981E-2</v>
      </c>
      <c r="O22" s="27">
        <v>3.4460286781730819E-2</v>
      </c>
      <c r="P22" s="26">
        <v>0</v>
      </c>
      <c r="Q22" s="27">
        <v>0.52737301713356688</v>
      </c>
      <c r="R22" s="27">
        <v>1.1886286808650164</v>
      </c>
      <c r="S22" s="27">
        <v>2.1768320310779155</v>
      </c>
      <c r="T22" s="27">
        <v>3.8145982525136954</v>
      </c>
      <c r="U22" s="27">
        <v>6.5533287687541399</v>
      </c>
      <c r="V22" s="27">
        <v>10</v>
      </c>
      <c r="W22" s="6"/>
      <c r="Y22" s="5" t="s">
        <v>10</v>
      </c>
      <c r="Z22" s="5">
        <f>H34</f>
        <v>-100</v>
      </c>
      <c r="AA22" s="5">
        <f t="shared" ref="AA22:AN22" si="49">I34</f>
        <v>-23.329589820974839</v>
      </c>
      <c r="AB22" s="5">
        <f t="shared" si="49"/>
        <v>0</v>
      </c>
      <c r="AC22" s="5">
        <f t="shared" si="49"/>
        <v>-0.48035215263639491</v>
      </c>
      <c r="AD22" s="5">
        <f t="shared" si="49"/>
        <v>-0.58544718528835671</v>
      </c>
      <c r="AE22" s="5">
        <f t="shared" si="49"/>
        <v>-0.44385770935294139</v>
      </c>
      <c r="AF22" s="5">
        <f t="shared" si="49"/>
        <v>-0.27371140716246672</v>
      </c>
      <c r="AG22" s="5">
        <f t="shared" si="49"/>
        <v>-0.12803075812515033</v>
      </c>
      <c r="AH22" s="5">
        <f t="shared" si="49"/>
        <v>0</v>
      </c>
      <c r="AI22" s="5">
        <f t="shared" si="49"/>
        <v>-2.377288619535967</v>
      </c>
      <c r="AJ22" s="5">
        <f t="shared" si="49"/>
        <v>-5.4517164109344556</v>
      </c>
      <c r="AK22" s="5">
        <f t="shared" si="49"/>
        <v>-10.181423779522607</v>
      </c>
      <c r="AL22" s="5">
        <f t="shared" si="49"/>
        <v>-18.042070313812385</v>
      </c>
      <c r="AM22" s="5">
        <f t="shared" si="49"/>
        <v>-31.009294832465699</v>
      </c>
      <c r="AN22" s="5">
        <f t="shared" si="49"/>
        <v>-50</v>
      </c>
    </row>
    <row r="23" spans="6:40" x14ac:dyDescent="0.25">
      <c r="F23" s="3"/>
      <c r="G23" s="11">
        <v>2</v>
      </c>
      <c r="H23" s="27">
        <v>10</v>
      </c>
      <c r="I23" s="27">
        <v>5.3228515016088389</v>
      </c>
      <c r="J23" s="26">
        <v>0</v>
      </c>
      <c r="K23" s="27">
        <v>0.59311277207213731</v>
      </c>
      <c r="L23" s="27">
        <v>0.44943804339441118</v>
      </c>
      <c r="M23" s="26">
        <v>0.16736811834448861</v>
      </c>
      <c r="N23" s="27">
        <v>7.7944923911385411E-2</v>
      </c>
      <c r="O23" s="27">
        <v>3.492597002369556E-2</v>
      </c>
      <c r="P23" s="26">
        <v>0</v>
      </c>
      <c r="Q23" s="27">
        <v>0.44540648824447654</v>
      </c>
      <c r="R23" s="27">
        <v>0.95996671473275141</v>
      </c>
      <c r="S23" s="27">
        <v>1.667817768719519</v>
      </c>
      <c r="T23" s="26">
        <v>2.9198184105461698</v>
      </c>
      <c r="U23" s="27">
        <v>6.1968583845367959</v>
      </c>
      <c r="V23" s="27">
        <v>10</v>
      </c>
      <c r="W23" s="6"/>
      <c r="Y23" s="5" t="s">
        <v>11</v>
      </c>
      <c r="Z23" s="5">
        <f>H47</f>
        <v>0</v>
      </c>
      <c r="AA23" s="5">
        <f t="shared" ref="AA23:AN23" si="50">I47</f>
        <v>0</v>
      </c>
      <c r="AB23" s="5">
        <f t="shared" si="50"/>
        <v>0</v>
      </c>
      <c r="AC23" s="5">
        <f t="shared" si="50"/>
        <v>0</v>
      </c>
      <c r="AD23" s="5">
        <f t="shared" si="50"/>
        <v>0</v>
      </c>
      <c r="AE23" s="5">
        <f t="shared" si="50"/>
        <v>0</v>
      </c>
      <c r="AF23" s="5">
        <f t="shared" si="50"/>
        <v>0</v>
      </c>
      <c r="AG23" s="5">
        <f t="shared" si="50"/>
        <v>0</v>
      </c>
      <c r="AH23" s="5">
        <f t="shared" si="50"/>
        <v>0</v>
      </c>
      <c r="AI23" s="5">
        <f t="shared" si="50"/>
        <v>0</v>
      </c>
      <c r="AJ23" s="5">
        <f t="shared" si="50"/>
        <v>0</v>
      </c>
      <c r="AK23" s="5">
        <f t="shared" si="50"/>
        <v>0</v>
      </c>
      <c r="AL23" s="5">
        <f t="shared" si="50"/>
        <v>0</v>
      </c>
      <c r="AM23" s="5">
        <f t="shared" si="50"/>
        <v>0</v>
      </c>
      <c r="AN23" s="5">
        <f t="shared" si="50"/>
        <v>0</v>
      </c>
    </row>
    <row r="24" spans="6:40" x14ac:dyDescent="0.25">
      <c r="F24" s="3"/>
      <c r="G24" s="11">
        <v>2</v>
      </c>
      <c r="H24" s="27">
        <v>10</v>
      </c>
      <c r="I24" s="27">
        <v>6.2942136609437549</v>
      </c>
      <c r="J24" s="26">
        <v>3.029216588384152</v>
      </c>
      <c r="K24" s="27">
        <v>1.6919898992361169</v>
      </c>
      <c r="L24" s="27">
        <v>0.80236138480699526</v>
      </c>
      <c r="M24" s="26">
        <v>0</v>
      </c>
      <c r="N24" s="27">
        <v>3.2176687149829873E-2</v>
      </c>
      <c r="O24" s="27">
        <v>2.7298773046695517E-2</v>
      </c>
      <c r="P24" s="26">
        <v>0</v>
      </c>
      <c r="Q24" s="27">
        <v>0.29428628371083054</v>
      </c>
      <c r="R24" s="27">
        <v>0.53801537343159311</v>
      </c>
      <c r="S24" s="27">
        <v>0.61465399600427983</v>
      </c>
      <c r="T24" s="26">
        <v>0</v>
      </c>
      <c r="U24" s="27">
        <v>5.3142863796227822</v>
      </c>
      <c r="V24" s="27">
        <v>10</v>
      </c>
      <c r="W24" s="6"/>
      <c r="Y24" s="5" t="s">
        <v>14</v>
      </c>
      <c r="Z24" s="5">
        <f>((Z22)^2+(Z23)^2)^0.5</f>
        <v>100</v>
      </c>
      <c r="AA24" s="5">
        <f t="shared" ref="AA24" si="51">((AA22)^2+(AA23)^2)^0.5</f>
        <v>23.329589820974839</v>
      </c>
      <c r="AB24" s="5">
        <f t="shared" ref="AB24" si="52">((AB22)^2+(AB23)^2)^0.5</f>
        <v>0</v>
      </c>
      <c r="AC24" s="5">
        <f t="shared" ref="AC24" si="53">((AC22)^2+(AC23)^2)^0.5</f>
        <v>0.48035215263639491</v>
      </c>
      <c r="AD24" s="5">
        <f t="shared" ref="AD24" si="54">((AD22)^2+(AD23)^2)^0.5</f>
        <v>0.58544718528835671</v>
      </c>
      <c r="AE24" s="5">
        <f t="shared" ref="AE24" si="55">((AE22)^2+(AE23)^2)^0.5</f>
        <v>0.44385770935294139</v>
      </c>
      <c r="AF24" s="5">
        <f t="shared" ref="AF24" si="56">((AF22)^2+(AF23)^2)^0.5</f>
        <v>0.27371140716246672</v>
      </c>
      <c r="AG24" s="5">
        <f t="shared" ref="AG24" si="57">((AG22)^2+(AG23)^2)^0.5</f>
        <v>0.12803075812515033</v>
      </c>
      <c r="AH24" s="5">
        <f t="shared" ref="AH24" si="58">((AH22)^2+(AH23)^2)^0.5</f>
        <v>0</v>
      </c>
      <c r="AI24" s="5">
        <f t="shared" ref="AI24" si="59">((AI22)^2+(AI23)^2)^0.5</f>
        <v>2.377288619535967</v>
      </c>
      <c r="AJ24" s="5">
        <f t="shared" ref="AJ24" si="60">((AJ22)^2+(AJ23)^2)^0.5</f>
        <v>5.4517164109344556</v>
      </c>
      <c r="AK24" s="5">
        <f t="shared" ref="AK24" si="61">((AK22)^2+(AK23)^2)^0.5</f>
        <v>10.181423779522607</v>
      </c>
      <c r="AL24" s="5">
        <f t="shared" ref="AL24" si="62">((AL22)^2+(AL23)^2)^0.5</f>
        <v>18.042070313812385</v>
      </c>
      <c r="AM24" s="5">
        <f t="shared" ref="AM24" si="63">((AM22)^2+(AM23)^2)^0.5</f>
        <v>31.009294832465699</v>
      </c>
      <c r="AN24" s="5">
        <f t="shared" ref="AN24" si="64">((AN22)^2+(AN23)^2)^0.5</f>
        <v>50</v>
      </c>
    </row>
    <row r="25" spans="6:40" x14ac:dyDescent="0.25">
      <c r="F25" s="3"/>
      <c r="G25" s="11">
        <v>2</v>
      </c>
      <c r="H25" s="27">
        <v>10</v>
      </c>
      <c r="I25" s="27">
        <v>6.8247865720794287</v>
      </c>
      <c r="J25" s="27">
        <v>4.1306629026107489</v>
      </c>
      <c r="K25" s="27">
        <v>2.3432689236887958</v>
      </c>
      <c r="L25" s="27">
        <v>1.0680177305215373</v>
      </c>
      <c r="M25" s="26">
        <v>0</v>
      </c>
      <c r="N25" s="27">
        <v>2.3463147186972681E-2</v>
      </c>
      <c r="O25" s="27">
        <v>4.2092902428756067E-2</v>
      </c>
      <c r="P25" s="26">
        <v>7.6869907684447403E-2</v>
      </c>
      <c r="Q25" s="27">
        <v>0.19372445986338854</v>
      </c>
      <c r="R25" s="27">
        <v>0.28315460587008429</v>
      </c>
      <c r="S25" s="27">
        <v>0.25278395242759732</v>
      </c>
      <c r="T25" s="26">
        <v>0</v>
      </c>
      <c r="U25" s="27">
        <v>5.0602872582240153</v>
      </c>
      <c r="V25" s="27">
        <v>10</v>
      </c>
      <c r="W25" s="6"/>
      <c r="Y25" s="5" t="s">
        <v>15</v>
      </c>
      <c r="Z25" s="8">
        <f>B5</f>
        <v>101325</v>
      </c>
      <c r="AA25" s="8">
        <f>(Z25+(Z24^2)/2)-(AA24^2)/2</f>
        <v>106052.86511939253</v>
      </c>
      <c r="AB25" s="8">
        <f t="shared" ref="AB25" si="65">(AA25+(AA24^2)/2)-(AB24^2)/2</f>
        <v>106325</v>
      </c>
      <c r="AC25" s="8">
        <f t="shared" ref="AC25" si="66">(AB25+(AB24^2)/2)-(AC24^2)/2</f>
        <v>106324.88463090472</v>
      </c>
      <c r="AD25" s="8">
        <f t="shared" ref="AD25" si="67">(AC25+(AC24^2)/2)-(AD24^2)/2</f>
        <v>106324.82862579662</v>
      </c>
      <c r="AE25" s="8">
        <f t="shared" ref="AE25" si="68">(AD25+(AD24^2)/2)-(AE24^2)/2</f>
        <v>106324.90149516692</v>
      </c>
      <c r="AF25" s="8">
        <f t="shared" ref="AF25" si="69">(AE25+(AE24^2)/2)-(AF24^2)/2</f>
        <v>106324.9625410328</v>
      </c>
      <c r="AG25" s="8">
        <f t="shared" ref="AG25" si="70">(AF25+(AF24^2)/2)-(AG24^2)/2</f>
        <v>106324.99180406249</v>
      </c>
      <c r="AH25" s="8">
        <f t="shared" ref="AH25" si="71">(AG25+(AG24^2)/2)-(AH24^2)/2</f>
        <v>106325</v>
      </c>
      <c r="AI25" s="8">
        <f t="shared" ref="AI25" si="72">(AH25+(AH24^2)/2)-(AI24^2)/2</f>
        <v>106322.17424940971</v>
      </c>
      <c r="AJ25" s="8">
        <f t="shared" ref="AJ25" si="73">(AI25+(AI24^2)/2)-(AJ24^2)/2</f>
        <v>106310.13939408737</v>
      </c>
      <c r="AK25" s="8">
        <f t="shared" ref="AK25" si="74">(AJ25+(AJ24^2)/2)-(AK24^2)/2</f>
        <v>106273.16930491089</v>
      </c>
      <c r="AL25" s="8">
        <f t="shared" ref="AL25" si="75">(AK25+(AK24^2)/2)-(AL24^2)/2</f>
        <v>106162.24184939572</v>
      </c>
      <c r="AM25" s="8">
        <f t="shared" ref="AM25" si="76">(AL25+(AL24^2)/2)-(AM24^2)/2</f>
        <v>105844.21181699661</v>
      </c>
      <c r="AN25" s="8">
        <f t="shared" ref="AN25" si="77">(AM25+(AM24^2)/2)-(AN24^2)/2</f>
        <v>105075</v>
      </c>
    </row>
    <row r="26" spans="6:40" x14ac:dyDescent="0.25">
      <c r="F26" s="3"/>
      <c r="G26" s="11">
        <v>2</v>
      </c>
      <c r="H26" s="27">
        <v>10</v>
      </c>
      <c r="I26" s="27">
        <v>6.8742698144521279</v>
      </c>
      <c r="J26" s="27">
        <v>4.3253795689472678</v>
      </c>
      <c r="K26" s="27">
        <v>2.4824053347606068</v>
      </c>
      <c r="L26" s="27">
        <v>1.1264406584012385</v>
      </c>
      <c r="M26" s="26">
        <v>0</v>
      </c>
      <c r="N26" s="27">
        <v>1.9583587401694372E-2</v>
      </c>
      <c r="O26" s="27">
        <v>4.0739902426305305E-2</v>
      </c>
      <c r="P26" s="26">
        <v>7.1663489449154641E-2</v>
      </c>
      <c r="Q26" s="27">
        <v>0.12058718095111587</v>
      </c>
      <c r="R26" s="27">
        <v>0.14809632066405562</v>
      </c>
      <c r="S26" s="27">
        <v>0.11332728706197591</v>
      </c>
      <c r="T26" s="26">
        <v>0</v>
      </c>
      <c r="U26" s="27">
        <v>4.92686265520706</v>
      </c>
      <c r="V26" s="27">
        <v>10</v>
      </c>
      <c r="W26" s="6"/>
      <c r="Y26" s="5" t="s">
        <v>16</v>
      </c>
      <c r="Z26" s="5">
        <f>(Z25-$B$5)/(($B$4^2)/2)</f>
        <v>0</v>
      </c>
      <c r="AA26" s="5">
        <f t="shared" ref="AA26" si="78">(AA25-$B$5)/(($B$4^2)/2)</f>
        <v>10.506366931983406</v>
      </c>
      <c r="AB26" s="5">
        <f t="shared" ref="AB26" si="79">(AB25-$B$5)/(($B$4^2)/2)</f>
        <v>11.111111111111111</v>
      </c>
      <c r="AC26" s="5">
        <f t="shared" ref="AC26" si="80">(AC25-$B$5)/(($B$4^2)/2)</f>
        <v>11.110854735343827</v>
      </c>
      <c r="AD26" s="5">
        <f t="shared" ref="AD26" si="81">(AD25-$B$5)/(($B$4^2)/2)</f>
        <v>11.110730279548054</v>
      </c>
      <c r="AE26" s="5">
        <f t="shared" ref="AE26" si="82">(AE25-$B$5)/(($B$4^2)/2)</f>
        <v>11.110892211482051</v>
      </c>
      <c r="AF26" s="5">
        <f t="shared" ref="AF26" si="83">(AF25-$B$5)/(($B$4^2)/2)</f>
        <v>11.111027868961779</v>
      </c>
      <c r="AG26" s="5">
        <f t="shared" ref="AG26" si="84">(AG25-$B$5)/(($B$4^2)/2)</f>
        <v>11.111092897916645</v>
      </c>
      <c r="AH26" s="5">
        <f t="shared" ref="AH26" si="85">(AH25-$B$5)/(($B$4^2)/2)</f>
        <v>11.111111111111111</v>
      </c>
      <c r="AI26" s="5">
        <f t="shared" ref="AI26" si="86">(AI25-$B$5)/(($B$4^2)/2)</f>
        <v>11.104831665354917</v>
      </c>
      <c r="AJ26" s="5">
        <f t="shared" ref="AJ26" si="87">(AJ25-$B$5)/(($B$4^2)/2)</f>
        <v>11.078087542416373</v>
      </c>
      <c r="AK26" s="5">
        <f t="shared" ref="AK26" si="88">(AK25-$B$5)/(($B$4^2)/2)</f>
        <v>10.995931788690861</v>
      </c>
      <c r="AL26" s="5">
        <f t="shared" ref="AL26" si="89">(AL25-$B$5)/(($B$4^2)/2)</f>
        <v>10.749426331990495</v>
      </c>
      <c r="AM26" s="5">
        <f t="shared" ref="AM26" si="90">(AM25-$B$5)/(($B$4^2)/2)</f>
        <v>10.042692926659139</v>
      </c>
      <c r="AN26" s="5">
        <f t="shared" ref="AN26" si="91">(AN25-$B$5)/(($B$4^2)/2)</f>
        <v>8.3333333333333339</v>
      </c>
    </row>
    <row r="27" spans="6:40" x14ac:dyDescent="0.25">
      <c r="F27" s="3"/>
      <c r="G27" s="11">
        <v>2</v>
      </c>
      <c r="H27" s="27">
        <v>10</v>
      </c>
      <c r="I27" s="27">
        <v>6.3469131375672507</v>
      </c>
      <c r="J27" s="27">
        <v>3.8141803777757772</v>
      </c>
      <c r="K27" s="27">
        <v>2.1345322299009548</v>
      </c>
      <c r="L27" s="27">
        <v>0.95533967305658574</v>
      </c>
      <c r="M27" s="26">
        <v>0</v>
      </c>
      <c r="N27" s="27">
        <v>1.4131379741614564E-2</v>
      </c>
      <c r="O27" s="27">
        <v>2.9620894433944618E-2</v>
      </c>
      <c r="P27" s="27">
        <v>4.8457120674426965E-2</v>
      </c>
      <c r="Q27" s="27">
        <v>6.8866308152630729E-2</v>
      </c>
      <c r="R27" s="27">
        <v>7.5316344120713016E-2</v>
      </c>
      <c r="S27" s="27">
        <v>5.2429870714368679E-2</v>
      </c>
      <c r="T27" s="26">
        <v>0</v>
      </c>
      <c r="U27" s="27">
        <v>4.6471633746044443</v>
      </c>
      <c r="V27" s="27">
        <v>10</v>
      </c>
      <c r="W27" s="6"/>
    </row>
    <row r="28" spans="6:40" x14ac:dyDescent="0.25">
      <c r="F28" s="3"/>
      <c r="G28" s="11">
        <v>2</v>
      </c>
      <c r="H28" s="27">
        <v>10</v>
      </c>
      <c r="I28" s="27">
        <v>4.6992024325589092</v>
      </c>
      <c r="J28" s="27">
        <v>2.4498966006071963</v>
      </c>
      <c r="K28" s="27">
        <v>1.2862036597304682</v>
      </c>
      <c r="L28" s="27">
        <v>0.56038582242406121</v>
      </c>
      <c r="M28" s="26">
        <v>0</v>
      </c>
      <c r="N28" s="27">
        <v>7.321657642353166E-3</v>
      </c>
      <c r="O28" s="27">
        <v>1.51552873649874E-2</v>
      </c>
      <c r="P28" s="27">
        <v>2.3679263387563352E-2</v>
      </c>
      <c r="Q28" s="27">
        <v>3.1104724605777487E-2</v>
      </c>
      <c r="R28" s="27">
        <v>3.1874230028362316E-2</v>
      </c>
      <c r="S28" s="27">
        <v>2.1075915829251772E-2</v>
      </c>
      <c r="T28" s="26">
        <v>0</v>
      </c>
      <c r="U28" s="27">
        <v>3.6617908433888218</v>
      </c>
      <c r="V28" s="27">
        <v>10</v>
      </c>
      <c r="W28" s="6"/>
    </row>
    <row r="29" spans="6:40" x14ac:dyDescent="0.25">
      <c r="F29" s="3"/>
      <c r="G29" s="11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6"/>
    </row>
    <row r="30" spans="6:40" x14ac:dyDescent="0.25">
      <c r="F30" s="3"/>
      <c r="G30" s="10"/>
      <c r="H30" s="11">
        <v>0</v>
      </c>
      <c r="I30" s="11">
        <f>H30+$B$2</f>
        <v>0.1</v>
      </c>
      <c r="J30" s="11">
        <f t="shared" ref="J30:V30" si="92">I30+$B$2</f>
        <v>0.2</v>
      </c>
      <c r="K30" s="11">
        <f t="shared" si="92"/>
        <v>0.30000000000000004</v>
      </c>
      <c r="L30" s="11">
        <f t="shared" si="92"/>
        <v>0.4</v>
      </c>
      <c r="M30" s="11">
        <f t="shared" si="92"/>
        <v>0.5</v>
      </c>
      <c r="N30" s="11">
        <f t="shared" si="92"/>
        <v>0.6</v>
      </c>
      <c r="O30" s="11">
        <f t="shared" si="92"/>
        <v>0.7</v>
      </c>
      <c r="P30" s="11">
        <f t="shared" si="92"/>
        <v>0.79999999999999993</v>
      </c>
      <c r="Q30" s="11">
        <f t="shared" si="92"/>
        <v>0.89999999999999991</v>
      </c>
      <c r="R30" s="11">
        <f t="shared" si="92"/>
        <v>0.99999999999999989</v>
      </c>
      <c r="S30" s="11">
        <f t="shared" si="92"/>
        <v>1.0999999999999999</v>
      </c>
      <c r="T30" s="11">
        <f t="shared" si="92"/>
        <v>1.2</v>
      </c>
      <c r="U30" s="11">
        <f t="shared" si="92"/>
        <v>1.3</v>
      </c>
      <c r="V30" s="11">
        <f t="shared" si="92"/>
        <v>1.4000000000000001</v>
      </c>
      <c r="W30" s="6"/>
    </row>
    <row r="31" spans="6:40" x14ac:dyDescent="0.25">
      <c r="F31" s="3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7"/>
    </row>
    <row r="32" spans="6:40" x14ac:dyDescent="0.25">
      <c r="F32" s="3"/>
      <c r="G32" s="10"/>
      <c r="H32" s="15">
        <v>1</v>
      </c>
      <c r="I32" s="15">
        <v>2</v>
      </c>
      <c r="J32" s="15">
        <v>3</v>
      </c>
      <c r="K32" s="15">
        <v>4</v>
      </c>
      <c r="L32" s="15">
        <v>5</v>
      </c>
      <c r="M32" s="15">
        <v>6</v>
      </c>
      <c r="N32" s="15">
        <v>7</v>
      </c>
      <c r="O32" s="15">
        <v>8</v>
      </c>
      <c r="P32" s="15">
        <v>9</v>
      </c>
      <c r="Q32" s="15">
        <v>10</v>
      </c>
      <c r="R32" s="15">
        <v>11</v>
      </c>
      <c r="S32" s="15">
        <v>12</v>
      </c>
      <c r="T32" s="15">
        <v>13</v>
      </c>
      <c r="U32" s="15">
        <v>14</v>
      </c>
      <c r="V32" s="15">
        <v>15</v>
      </c>
      <c r="W32" s="6"/>
    </row>
    <row r="33" spans="6:23" x14ac:dyDescent="0.25">
      <c r="F33" s="3" t="s">
        <v>10</v>
      </c>
      <c r="G33" s="11">
        <f t="shared" ref="G33:G41" si="93">G34+B$2</f>
        <v>0.99999999999999989</v>
      </c>
      <c r="H33" s="16">
        <f>(H5-H6)/$B$2</f>
        <v>-100</v>
      </c>
      <c r="I33" s="16">
        <f>(I5-I6)/$B$2</f>
        <v>-36.664794909192224</v>
      </c>
      <c r="J33" s="16">
        <f t="shared" ref="I33:V33" si="94">(J5-J6)/$B$2</f>
        <v>0</v>
      </c>
      <c r="K33" s="16">
        <f t="shared" si="94"/>
        <v>-0.36169051641878208</v>
      </c>
      <c r="L33" s="16">
        <f t="shared" si="94"/>
        <v>-0.4860582663665784</v>
      </c>
      <c r="M33" s="16">
        <f t="shared" si="94"/>
        <v>-0.41164892159617855</v>
      </c>
      <c r="N33" s="16">
        <f t="shared" si="94"/>
        <v>-0.27282296505623305</v>
      </c>
      <c r="O33" s="16">
        <f t="shared" si="94"/>
        <v>-0.13222100088305341</v>
      </c>
      <c r="P33" s="16">
        <f t="shared" si="94"/>
        <v>0</v>
      </c>
      <c r="Q33" s="16">
        <f t="shared" si="94"/>
        <v>-2.8411492641582767</v>
      </c>
      <c r="R33" s="16">
        <f t="shared" si="94"/>
        <v>-6.6100199677433054</v>
      </c>
      <c r="S33" s="16">
        <f t="shared" si="94"/>
        <v>-12.695502569060858</v>
      </c>
      <c r="T33" s="16">
        <f t="shared" si="94"/>
        <v>-23.809143014551335</v>
      </c>
      <c r="U33" s="16">
        <f t="shared" si="94"/>
        <v>-46.456933140792437</v>
      </c>
      <c r="V33" s="16">
        <f t="shared" si="94"/>
        <v>-100</v>
      </c>
      <c r="W33" s="6"/>
    </row>
    <row r="34" spans="6:23" x14ac:dyDescent="0.25">
      <c r="F34" s="3"/>
      <c r="G34" s="11">
        <f t="shared" si="93"/>
        <v>0.89999999999999991</v>
      </c>
      <c r="H34" s="16">
        <f>(H5-H7)/$B$2</f>
        <v>-100</v>
      </c>
      <c r="I34" s="16">
        <f>(I5-I7)/(2*$B$2)</f>
        <v>-23.329589820974839</v>
      </c>
      <c r="J34" s="16">
        <f t="shared" ref="I34:V34" si="95">(J5-J7)/$B$2</f>
        <v>0</v>
      </c>
      <c r="K34" s="16">
        <f t="shared" ref="K34:L34" si="96">(K5-K7)/(2*$B$2)</f>
        <v>-0.48035215263639491</v>
      </c>
      <c r="L34" s="16">
        <f t="shared" si="96"/>
        <v>-0.58544718528835671</v>
      </c>
      <c r="M34" s="16">
        <f t="shared" ref="M34:O34" si="97">(M5-M7)/(2*$B$2)</f>
        <v>-0.44385770935294139</v>
      </c>
      <c r="N34" s="16">
        <f t="shared" si="97"/>
        <v>-0.27371140716246672</v>
      </c>
      <c r="O34" s="16">
        <f t="shared" si="97"/>
        <v>-0.12803075812515033</v>
      </c>
      <c r="P34" s="16">
        <f t="shared" si="95"/>
        <v>0</v>
      </c>
      <c r="Q34" s="16">
        <f t="shared" ref="Q34:S34" si="98">(Q5-Q7)/(2*$B$2)</f>
        <v>-2.377288619535967</v>
      </c>
      <c r="R34" s="16">
        <f t="shared" si="98"/>
        <v>-5.4517164109344556</v>
      </c>
      <c r="S34" s="16">
        <f t="shared" si="98"/>
        <v>-10.181423779522607</v>
      </c>
      <c r="T34" s="16">
        <f t="shared" ref="T34:V34" si="99">(T5-T7)/(2*$B$2)</f>
        <v>-18.042070313812385</v>
      </c>
      <c r="U34" s="16">
        <f t="shared" si="99"/>
        <v>-31.009294832465699</v>
      </c>
      <c r="V34" s="16">
        <f t="shared" si="99"/>
        <v>-50</v>
      </c>
      <c r="W34" s="6"/>
    </row>
    <row r="35" spans="6:23" x14ac:dyDescent="0.25">
      <c r="F35" s="3"/>
      <c r="G35" s="11">
        <f t="shared" si="93"/>
        <v>0.79999999999999993</v>
      </c>
      <c r="H35" s="16">
        <f t="shared" ref="H35:V43" si="100">(H6-H8)/$B$2</f>
        <v>0</v>
      </c>
      <c r="I35" s="16">
        <f t="shared" ref="I35:L42" si="101">(I6-I8)/(2*$B$2)</f>
        <v>-6.6535643770110475</v>
      </c>
      <c r="J35" s="16">
        <f t="shared" ref="J35" si="102">(J6-J8)/$B$2</f>
        <v>0</v>
      </c>
      <c r="K35" s="16">
        <f t="shared" ref="K35:L35" si="103">(K6-K8)/(2*$B$2)</f>
        <v>-0.97427127212760978</v>
      </c>
      <c r="L35" s="16">
        <f t="shared" si="103"/>
        <v>-0.93152135608339426</v>
      </c>
      <c r="M35" s="16">
        <f t="shared" ref="M35:O35" si="104">(M6-M8)/(2*$B$2)</f>
        <v>-0.50462415330101462</v>
      </c>
      <c r="N35" s="16">
        <f t="shared" si="104"/>
        <v>-0.25013490710051034</v>
      </c>
      <c r="O35" s="16">
        <f t="shared" si="104"/>
        <v>-0.10619116086258522</v>
      </c>
      <c r="P35" s="16">
        <f t="shared" ref="P35" si="105">(P6-P8)/$B$2</f>
        <v>0</v>
      </c>
      <c r="Q35" s="16">
        <f t="shared" ref="Q35:S35" si="106">(Q6-Q8)/(2*$B$2)</f>
        <v>-1.2162914740392261</v>
      </c>
      <c r="R35" s="16">
        <f t="shared" si="106"/>
        <v>-2.6381335115783253</v>
      </c>
      <c r="S35" s="16">
        <f t="shared" si="106"/>
        <v>-4.5364105208664069</v>
      </c>
      <c r="T35" s="16">
        <f t="shared" ref="T35:V35" si="107">(T6-T8)/(2*$B$2)</f>
        <v>-7.1684198188499959</v>
      </c>
      <c r="U35" s="16">
        <f t="shared" si="107"/>
        <v>-9.5381779269043765</v>
      </c>
      <c r="V35" s="16">
        <f t="shared" si="107"/>
        <v>0</v>
      </c>
      <c r="W35" s="6"/>
    </row>
    <row r="36" spans="6:23" x14ac:dyDescent="0.25">
      <c r="F36" s="3"/>
      <c r="G36" s="11">
        <f t="shared" si="93"/>
        <v>0.7</v>
      </c>
      <c r="H36" s="16">
        <f>(H7-H9)/$B$2</f>
        <v>0</v>
      </c>
      <c r="I36" s="16">
        <f t="shared" si="101"/>
        <v>-3.2846677125754242</v>
      </c>
      <c r="J36" s="16">
        <f t="shared" ref="J36" si="108">(J7-J9)/$B$2</f>
        <v>0</v>
      </c>
      <c r="K36" s="16">
        <f t="shared" ref="K36:L36" si="109">(K7-K9)/(2*$B$2)</f>
        <v>-2.4852118779850003</v>
      </c>
      <c r="L36" s="16">
        <f t="shared" si="109"/>
        <v>-1.6617432181887226</v>
      </c>
      <c r="M36" s="16">
        <f t="shared" ref="M36:O36" si="110">(M7-M9)/(2*$B$2)</f>
        <v>-0.39298308225915846</v>
      </c>
      <c r="N36" s="16">
        <f t="shared" si="110"/>
        <v>-0.1160136013245783</v>
      </c>
      <c r="O36" s="16">
        <f t="shared" si="110"/>
        <v>-4.6599221549614329E-2</v>
      </c>
      <c r="P36" s="16">
        <f t="shared" ref="P36" si="111">(P7-P9)/$B$2</f>
        <v>0</v>
      </c>
      <c r="Q36" s="16">
        <f t="shared" ref="Q36:S36" si="112">(Q7-Q9)/(2*$B$2)</f>
        <v>0.15025610006453138</v>
      </c>
      <c r="R36" s="16">
        <f t="shared" si="112"/>
        <v>0.65188102185869956</v>
      </c>
      <c r="S36" s="16">
        <f t="shared" si="112"/>
        <v>1.8423348390712113</v>
      </c>
      <c r="T36" s="16">
        <f t="shared" ref="T36:V36" si="113">(T7-T9)/(2*$B$2)</f>
        <v>3.4429773065998726</v>
      </c>
      <c r="U36" s="16">
        <f t="shared" si="113"/>
        <v>2.5002883811833243E-2</v>
      </c>
      <c r="V36" s="16">
        <f t="shared" si="113"/>
        <v>0</v>
      </c>
      <c r="W36" s="6"/>
    </row>
    <row r="37" spans="6:23" x14ac:dyDescent="0.25">
      <c r="F37" s="3"/>
      <c r="G37" s="11">
        <f t="shared" si="93"/>
        <v>0.6</v>
      </c>
      <c r="H37" s="16">
        <f t="shared" si="100"/>
        <v>0</v>
      </c>
      <c r="I37" s="16">
        <f t="shared" si="101"/>
        <v>-6.4851064959833638</v>
      </c>
      <c r="J37" s="16">
        <f t="shared" ref="J37" si="114">(J8-J10)/$B$2</f>
        <v>-30.292166156976553</v>
      </c>
      <c r="K37" s="16">
        <f t="shared" ref="K37:L37" si="115">(K8-K10)/(2*$B$2)</f>
        <v>-7.3048330558531003</v>
      </c>
      <c r="L37" s="16">
        <f t="shared" si="115"/>
        <v>-2.8372566021733978</v>
      </c>
      <c r="M37" s="16">
        <f t="shared" ref="M37" si="116">(M8-M10)/$B$2</f>
        <v>1.420897228198208</v>
      </c>
      <c r="N37" s="16">
        <f t="shared" ref="N37:O37" si="117">(N8-N10)/(2*$B$2)</f>
        <v>0.22566283444730986</v>
      </c>
      <c r="O37" s="16">
        <f t="shared" si="117"/>
        <v>3.5807211801260064E-2</v>
      </c>
      <c r="P37" s="16">
        <f t="shared" ref="P37" si="118">(P8-P10)/$B$2</f>
        <v>0</v>
      </c>
      <c r="Q37" s="16">
        <f t="shared" ref="Q37:S37" si="119">(Q8-Q10)/(2*$B$2)</f>
        <v>1.1654332041940418</v>
      </c>
      <c r="R37" s="16">
        <f t="shared" si="119"/>
        <v>3.2530664950525456</v>
      </c>
      <c r="S37" s="16">
        <f t="shared" si="119"/>
        <v>7.81089043717345</v>
      </c>
      <c r="T37" s="16">
        <f t="shared" ref="T37" si="120">(T8-T10)/$B$2</f>
        <v>38.145982652251327</v>
      </c>
      <c r="U37" s="16">
        <f t="shared" ref="U37:V37" si="121">(U8-U10)/(2*$B$2)</f>
        <v>6.1952124438495826</v>
      </c>
      <c r="V37" s="16">
        <f t="shared" si="121"/>
        <v>0</v>
      </c>
      <c r="W37" s="6"/>
    </row>
    <row r="38" spans="6:23" x14ac:dyDescent="0.25">
      <c r="F38" s="3"/>
      <c r="G38" s="11">
        <f t="shared" si="93"/>
        <v>0.5</v>
      </c>
      <c r="H38" s="16">
        <f t="shared" si="100"/>
        <v>0</v>
      </c>
      <c r="I38" s="16">
        <f t="shared" si="101"/>
        <v>-7.5096754389580278</v>
      </c>
      <c r="J38" s="16">
        <f t="shared" si="101"/>
        <v>-20.653314566374554</v>
      </c>
      <c r="K38" s="16">
        <f t="shared" si="101"/>
        <v>-8.7507808032898673</v>
      </c>
      <c r="L38" s="16">
        <f t="shared" si="101"/>
        <v>-3.0928983051442072</v>
      </c>
      <c r="M38" s="16">
        <f t="shared" ref="M38" si="122">(M9-M11)/$B$2</f>
        <v>1.6736815832241996</v>
      </c>
      <c r="N38" s="16">
        <f t="shared" ref="N38:O38" si="123">(N9-N11)/(2*$B$2)</f>
        <v>0.27240853726169462</v>
      </c>
      <c r="O38" s="16">
        <f t="shared" si="123"/>
        <v>-3.5834683255761453E-2</v>
      </c>
      <c r="P38" s="16">
        <f t="shared" ref="P38" si="124">(P9-P11)/$B$2</f>
        <v>-0.76870212935324811</v>
      </c>
      <c r="Q38" s="16">
        <f t="shared" ref="Q38:S38" si="125">(Q9-Q11)/(2*$B$2)</f>
        <v>1.2584100467008379</v>
      </c>
      <c r="R38" s="16">
        <f t="shared" si="125"/>
        <v>3.3840602560924635</v>
      </c>
      <c r="S38" s="16">
        <f t="shared" si="125"/>
        <v>7.0751690792809701</v>
      </c>
      <c r="T38" s="16">
        <f t="shared" ref="T38" si="126">(T9-T11)/$B$2</f>
        <v>29.198186014425026</v>
      </c>
      <c r="U38" s="16">
        <f t="shared" ref="U38:V38" si="127">(U9-U11)/(2*$B$2)</f>
        <v>5.6828556551165654</v>
      </c>
      <c r="V38" s="16">
        <f t="shared" si="127"/>
        <v>0</v>
      </c>
      <c r="W38" s="6"/>
    </row>
    <row r="39" spans="6:23" x14ac:dyDescent="0.25">
      <c r="F39" s="3"/>
      <c r="G39" s="11">
        <f t="shared" si="93"/>
        <v>0.4</v>
      </c>
      <c r="H39" s="16">
        <f t="shared" si="100"/>
        <v>0</v>
      </c>
      <c r="I39" s="16">
        <f t="shared" si="101"/>
        <v>-2.9002807706519107</v>
      </c>
      <c r="J39" s="16">
        <f t="shared" si="101"/>
        <v>-6.4808149585107966</v>
      </c>
      <c r="K39" s="16">
        <f t="shared" si="101"/>
        <v>-3.9520771399827215</v>
      </c>
      <c r="L39" s="16">
        <f t="shared" si="101"/>
        <v>-1.6203963314833303</v>
      </c>
      <c r="M39" s="16">
        <f t="shared" ref="M39" si="128">(M10-M12)/$B$2</f>
        <v>0</v>
      </c>
      <c r="N39" s="16">
        <f t="shared" ref="N39:O39" si="129">(N10-N12)/(2*$B$2)</f>
        <v>6.296551848770135E-2</v>
      </c>
      <c r="O39" s="16">
        <f t="shared" si="129"/>
        <v>-6.7206642639085212E-2</v>
      </c>
      <c r="P39" s="16">
        <f t="shared" ref="P39" si="130">(P10-P12)/$B$2</f>
        <v>-0.7166352793407389</v>
      </c>
      <c r="Q39" s="16">
        <f t="shared" ref="Q39:S39" si="131">(Q10-Q12)/(2*$B$2)</f>
        <v>0.8684946792627859</v>
      </c>
      <c r="R39" s="16">
        <f t="shared" si="131"/>
        <v>1.9495952278925714</v>
      </c>
      <c r="S39" s="16">
        <f t="shared" si="131"/>
        <v>2.5066336884658602</v>
      </c>
      <c r="T39" s="16">
        <f t="shared" ref="T39" si="132">(T10-T12)/$B$2</f>
        <v>0</v>
      </c>
      <c r="U39" s="16">
        <f t="shared" ref="U39:V39" si="133">(U10-U12)/(2*$B$2)</f>
        <v>1.9371187624154373</v>
      </c>
      <c r="V39" s="16">
        <f t="shared" si="133"/>
        <v>0</v>
      </c>
      <c r="W39" s="6"/>
    </row>
    <row r="40" spans="6:23" x14ac:dyDescent="0.25">
      <c r="F40" s="3"/>
      <c r="G40" s="11">
        <f t="shared" si="93"/>
        <v>0.30000000000000004</v>
      </c>
      <c r="H40" s="16">
        <f t="shared" si="100"/>
        <v>0</v>
      </c>
      <c r="I40" s="16">
        <f t="shared" si="101"/>
        <v>2.3893671915247738</v>
      </c>
      <c r="J40" s="16">
        <f t="shared" si="101"/>
        <v>1.5824126450962162</v>
      </c>
      <c r="K40" s="16">
        <f t="shared" si="101"/>
        <v>1.0436835272569667</v>
      </c>
      <c r="L40" s="16">
        <f t="shared" si="101"/>
        <v>0.56339032021346824</v>
      </c>
      <c r="M40" s="16">
        <f t="shared" ref="M40" si="134">(M11-M13)/$B$2</f>
        <v>0</v>
      </c>
      <c r="N40" s="16">
        <f t="shared" ref="N40:O40" si="135">(N11-N13)/(2*$B$2)</f>
        <v>4.665879687786019E-2</v>
      </c>
      <c r="O40" s="16">
        <f t="shared" si="135"/>
        <v>6.2360050171358337E-2</v>
      </c>
      <c r="P40" s="16">
        <f t="shared" ref="P40:S40" si="136">(P11-P13)/(2*$B$2)</f>
        <v>0.14206362039750739</v>
      </c>
      <c r="Q40" s="16">
        <f t="shared" si="136"/>
        <v>0.62429075983055604</v>
      </c>
      <c r="R40" s="16">
        <f t="shared" si="136"/>
        <v>1.0391917210340214</v>
      </c>
      <c r="S40" s="16">
        <f t="shared" si="136"/>
        <v>1.001770427405499</v>
      </c>
      <c r="T40" s="16">
        <f t="shared" ref="T40" si="137">(T11-T13)/$B$2</f>
        <v>0</v>
      </c>
      <c r="U40" s="16">
        <f t="shared" ref="U40:V40" si="138">(U11-U13)/(2*$B$2)</f>
        <v>2.0656194202924505</v>
      </c>
      <c r="V40" s="16">
        <f t="shared" si="138"/>
        <v>0</v>
      </c>
      <c r="W40" s="6"/>
    </row>
    <row r="41" spans="6:23" x14ac:dyDescent="0.25">
      <c r="F41" s="3"/>
      <c r="G41" s="11">
        <f t="shared" si="93"/>
        <v>0.2</v>
      </c>
      <c r="H41" s="16">
        <f t="shared" si="100"/>
        <v>0</v>
      </c>
      <c r="I41" s="16">
        <f t="shared" si="101"/>
        <v>10.875336925524376</v>
      </c>
      <c r="J41" s="16">
        <f t="shared" si="101"/>
        <v>9.3774149494176307</v>
      </c>
      <c r="K41" s="16">
        <f t="shared" si="101"/>
        <v>5.9810084100075578</v>
      </c>
      <c r="L41" s="16">
        <f t="shared" si="101"/>
        <v>2.8302742569395942</v>
      </c>
      <c r="M41" s="16">
        <f t="shared" ref="M41" si="139">(M12-M14)/$B$2</f>
        <v>0</v>
      </c>
      <c r="N41" s="16">
        <f t="shared" ref="N41:O41" si="140">(N12-N14)/(2*$B$2)</f>
        <v>6.1309702810363222E-2</v>
      </c>
      <c r="O41" s="16">
        <f t="shared" si="140"/>
        <v>0.12792382281211065</v>
      </c>
      <c r="P41" s="16">
        <f t="shared" ref="P41:S41" si="141">(P12-P14)/(2*$B$2)</f>
        <v>0.23992122386387962</v>
      </c>
      <c r="Q41" s="16">
        <f t="shared" si="141"/>
        <v>0.44741347070084131</v>
      </c>
      <c r="R41" s="16">
        <f t="shared" si="141"/>
        <v>0.58111054181018351</v>
      </c>
      <c r="S41" s="16">
        <f t="shared" si="141"/>
        <v>0.46125755382911332</v>
      </c>
      <c r="T41" s="16">
        <f t="shared" ref="T41" si="142">(T12-T14)/$B$2</f>
        <v>0</v>
      </c>
      <c r="U41" s="16">
        <f t="shared" ref="U41:V41" si="143">(U12-U14)/(2*$B$2)</f>
        <v>6.3253590727800209</v>
      </c>
      <c r="V41" s="16">
        <f t="shared" si="143"/>
        <v>0</v>
      </c>
      <c r="W41" s="6"/>
    </row>
    <row r="42" spans="6:23" x14ac:dyDescent="0.25">
      <c r="F42" s="3"/>
      <c r="G42" s="11">
        <f>G43+B$2</f>
        <v>0.1</v>
      </c>
      <c r="H42" s="16">
        <f t="shared" si="100"/>
        <v>100</v>
      </c>
      <c r="I42" s="16">
        <f t="shared" si="101"/>
        <v>31.734565780983516</v>
      </c>
      <c r="J42" s="16">
        <f t="shared" si="101"/>
        <v>19.070901921278338</v>
      </c>
      <c r="K42" s="16">
        <f t="shared" si="101"/>
        <v>10.672661306654296</v>
      </c>
      <c r="L42" s="16">
        <f t="shared" si="101"/>
        <v>4.7766983884078185</v>
      </c>
      <c r="M42" s="16">
        <f t="shared" si="100"/>
        <v>0</v>
      </c>
      <c r="N42" s="16">
        <f t="shared" ref="N42:O42" si="144">(N13-N15)/(2*$B$2)</f>
        <v>7.0657674347490193E-2</v>
      </c>
      <c r="O42" s="16">
        <f t="shared" si="144"/>
        <v>0.14810461275916778</v>
      </c>
      <c r="P42" s="16">
        <f t="shared" ref="P42:S42" si="145">(P13-P15)/(2*$B$2)</f>
        <v>0.24228744427911664</v>
      </c>
      <c r="Q42" s="16">
        <f t="shared" si="145"/>
        <v>0.34433171294004167</v>
      </c>
      <c r="R42" s="16">
        <f t="shared" si="145"/>
        <v>0.3765834119492717</v>
      </c>
      <c r="S42" s="16">
        <f t="shared" si="145"/>
        <v>0.26214943376492583</v>
      </c>
      <c r="T42" s="16">
        <f t="shared" si="100"/>
        <v>0</v>
      </c>
      <c r="U42" s="16">
        <f t="shared" ref="U42:V42" si="146">(U13-U15)/(2*$B$2)</f>
        <v>23.23581687324485</v>
      </c>
      <c r="V42" s="16">
        <f t="shared" si="146"/>
        <v>50</v>
      </c>
      <c r="W42" s="6"/>
    </row>
    <row r="43" spans="6:23" x14ac:dyDescent="0.25">
      <c r="F43" s="3"/>
      <c r="G43" s="11">
        <v>0</v>
      </c>
      <c r="H43" s="16">
        <f>(H14-H15)/$B$2</f>
        <v>100</v>
      </c>
      <c r="I43" s="16">
        <f t="shared" ref="I43:V43" si="147">(I14-I15)/$B$2</f>
        <v>46.992024345436114</v>
      </c>
      <c r="J43" s="16">
        <f t="shared" ref="J43:L43" si="148">(J14-J15)/$B$2</f>
        <v>24.498966175162884</v>
      </c>
      <c r="K43" s="16">
        <f t="shared" si="148"/>
        <v>12.862036632330529</v>
      </c>
      <c r="L43" s="16">
        <f t="shared" si="148"/>
        <v>5.6038583319676345</v>
      </c>
      <c r="M43" s="16">
        <f t="shared" si="147"/>
        <v>0</v>
      </c>
      <c r="N43" s="16">
        <f t="shared" si="147"/>
        <v>7.3216667766504914E-2</v>
      </c>
      <c r="O43" s="16">
        <f t="shared" si="147"/>
        <v>0.15155453865965285</v>
      </c>
      <c r="P43" s="16">
        <f t="shared" si="147"/>
        <v>0.23679283161297962</v>
      </c>
      <c r="Q43" s="16">
        <f t="shared" si="147"/>
        <v>0.31104950392139097</v>
      </c>
      <c r="R43" s="16">
        <f t="shared" si="147"/>
        <v>0.31874246138935564</v>
      </c>
      <c r="S43" s="16">
        <f t="shared" si="147"/>
        <v>0.21076025185682748</v>
      </c>
      <c r="T43" s="16">
        <f t="shared" si="147"/>
        <v>0</v>
      </c>
      <c r="U43" s="16">
        <f t="shared" si="147"/>
        <v>36.617908436511108</v>
      </c>
      <c r="V43" s="16">
        <f t="shared" si="147"/>
        <v>100</v>
      </c>
      <c r="W43" s="6"/>
    </row>
    <row r="44" spans="6:23" x14ac:dyDescent="0.25">
      <c r="F44" s="3"/>
      <c r="G44" s="10"/>
      <c r="H44" s="16">
        <v>0</v>
      </c>
      <c r="I44" s="16">
        <f>H44+$B$2</f>
        <v>0.1</v>
      </c>
      <c r="J44" s="16">
        <f t="shared" ref="J44:V44" si="149">I44+$B$2</f>
        <v>0.2</v>
      </c>
      <c r="K44" s="16">
        <f t="shared" si="149"/>
        <v>0.30000000000000004</v>
      </c>
      <c r="L44" s="16">
        <f t="shared" si="149"/>
        <v>0.4</v>
      </c>
      <c r="M44" s="16">
        <f t="shared" si="149"/>
        <v>0.5</v>
      </c>
      <c r="N44" s="16">
        <f t="shared" si="149"/>
        <v>0.6</v>
      </c>
      <c r="O44" s="16">
        <f t="shared" si="149"/>
        <v>0.7</v>
      </c>
      <c r="P44" s="16">
        <f t="shared" si="149"/>
        <v>0.79999999999999993</v>
      </c>
      <c r="Q44" s="16">
        <f t="shared" si="149"/>
        <v>0.89999999999999991</v>
      </c>
      <c r="R44" s="16">
        <f t="shared" si="149"/>
        <v>0.99999999999999989</v>
      </c>
      <c r="S44" s="16">
        <f t="shared" si="149"/>
        <v>1.0999999999999999</v>
      </c>
      <c r="T44" s="16">
        <f t="shared" si="149"/>
        <v>1.2</v>
      </c>
      <c r="U44" s="16">
        <f t="shared" si="149"/>
        <v>1.3</v>
      </c>
      <c r="V44" s="16">
        <f t="shared" si="149"/>
        <v>1.4000000000000001</v>
      </c>
      <c r="W44" s="6"/>
    </row>
    <row r="45" spans="6:23" x14ac:dyDescent="0.25">
      <c r="F45" s="3"/>
      <c r="G45" s="20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</row>
    <row r="46" spans="6:23" x14ac:dyDescent="0.25">
      <c r="F46" s="3" t="s">
        <v>11</v>
      </c>
      <c r="G46" s="10"/>
      <c r="H46" s="24">
        <v>1</v>
      </c>
      <c r="I46" s="24">
        <v>2</v>
      </c>
      <c r="J46" s="24">
        <v>3</v>
      </c>
      <c r="K46" s="24">
        <v>4</v>
      </c>
      <c r="L46" s="24">
        <v>5</v>
      </c>
      <c r="M46" s="24">
        <v>6</v>
      </c>
      <c r="N46" s="24">
        <v>7</v>
      </c>
      <c r="O46" s="24">
        <v>8</v>
      </c>
      <c r="P46" s="24">
        <v>9</v>
      </c>
      <c r="Q46" s="24">
        <v>10</v>
      </c>
      <c r="R46" s="24">
        <v>11</v>
      </c>
      <c r="S46" s="24">
        <v>12</v>
      </c>
      <c r="T46" s="24">
        <v>13</v>
      </c>
      <c r="U46" s="24">
        <v>14</v>
      </c>
      <c r="V46" s="24">
        <v>15</v>
      </c>
    </row>
    <row r="47" spans="6:23" x14ac:dyDescent="0.25">
      <c r="F47" s="3"/>
      <c r="G47" s="11">
        <f t="shared" ref="G47:G55" si="150">G48+B$2</f>
        <v>0.99999999999999989</v>
      </c>
      <c r="H47" s="17">
        <f t="shared" ref="H47:V51" si="151">(H5-I5)/$B$2</f>
        <v>0</v>
      </c>
      <c r="I47" s="17">
        <f t="shared" si="151"/>
        <v>0</v>
      </c>
      <c r="J47" s="17">
        <f t="shared" si="151"/>
        <v>0</v>
      </c>
      <c r="K47" s="17">
        <f t="shared" si="151"/>
        <v>0</v>
      </c>
      <c r="L47" s="17">
        <f t="shared" si="151"/>
        <v>0</v>
      </c>
      <c r="M47" s="17">
        <f t="shared" si="151"/>
        <v>0</v>
      </c>
      <c r="N47" s="17">
        <f t="shared" si="151"/>
        <v>0</v>
      </c>
      <c r="O47" s="17">
        <f t="shared" si="151"/>
        <v>0</v>
      </c>
      <c r="P47" s="17">
        <f t="shared" si="151"/>
        <v>0</v>
      </c>
      <c r="Q47" s="17">
        <f t="shared" si="151"/>
        <v>0</v>
      </c>
      <c r="R47" s="17">
        <f t="shared" si="151"/>
        <v>0</v>
      </c>
      <c r="S47" s="17">
        <f t="shared" si="151"/>
        <v>0</v>
      </c>
      <c r="T47" s="17">
        <f t="shared" si="151"/>
        <v>0</v>
      </c>
      <c r="U47" s="17">
        <f t="shared" si="151"/>
        <v>0</v>
      </c>
      <c r="V47" s="17">
        <f t="shared" ref="V47:V56" si="152">(U5-V5)/$B$2</f>
        <v>0</v>
      </c>
    </row>
    <row r="48" spans="6:23" x14ac:dyDescent="0.25">
      <c r="F48" s="3"/>
      <c r="G48" s="11">
        <f t="shared" si="150"/>
        <v>0.89999999999999991</v>
      </c>
      <c r="H48" s="17">
        <f>(H6-I6)/($B$2)</f>
        <v>63.335205090807776</v>
      </c>
      <c r="I48" s="17">
        <f>(I6-J6)/(2*$B$2)</f>
        <v>18.332397454596112</v>
      </c>
      <c r="J48" s="17">
        <f t="shared" si="151"/>
        <v>-0.36169051641878208</v>
      </c>
      <c r="K48" s="17">
        <f t="shared" ref="K48:L48" si="153">(K6-L6)/(2*$B$2)</f>
        <v>-6.2183874973898157E-2</v>
      </c>
      <c r="L48" s="17">
        <f t="shared" si="153"/>
        <v>3.7204672385199936E-2</v>
      </c>
      <c r="M48" s="17">
        <f t="shared" ref="M48:O48" si="154">(M6-N6)/(2*$B$2)</f>
        <v>6.9412978269972753E-2</v>
      </c>
      <c r="N48" s="17">
        <f t="shared" si="154"/>
        <v>7.0300982086589803E-2</v>
      </c>
      <c r="O48" s="17">
        <f t="shared" si="154"/>
        <v>6.6110500441526707E-2</v>
      </c>
      <c r="P48" s="17">
        <f t="shared" ref="P48" si="155">(P6-Q6)/$B$2</f>
        <v>-2.8411492641582767</v>
      </c>
      <c r="Q48" s="17">
        <f t="shared" ref="Q48:S48" si="156">(Q6-R6)/(2*$B$2)</f>
        <v>-1.8844353517925143</v>
      </c>
      <c r="R48" s="17">
        <f t="shared" si="156"/>
        <v>-3.0427413006587765</v>
      </c>
      <c r="S48" s="17">
        <f t="shared" si="156"/>
        <v>-5.5568202227452375</v>
      </c>
      <c r="T48" s="17">
        <f t="shared" ref="T48:V48" si="157">(T6-U6)/(2*$B$2)</f>
        <v>-11.323895063120553</v>
      </c>
      <c r="U48" s="17">
        <f t="shared" si="157"/>
        <v>-26.771533429603778</v>
      </c>
      <c r="V48" s="17">
        <f t="shared" si="152"/>
        <v>-53.543066859207556</v>
      </c>
    </row>
    <row r="49" spans="6:22" x14ac:dyDescent="0.25">
      <c r="F49" s="3"/>
      <c r="G49" s="11">
        <f t="shared" si="150"/>
        <v>0.79999999999999993</v>
      </c>
      <c r="H49" s="17">
        <f t="shared" ref="H49:H56" si="158">(H7-I7)/($B$2)</f>
        <v>53.340820358050323</v>
      </c>
      <c r="I49" s="17">
        <f t="shared" ref="I49:L56" si="159">(I7-J7)/(2*$B$2)</f>
        <v>23.329589820974839</v>
      </c>
      <c r="J49" s="17">
        <f t="shared" si="151"/>
        <v>-0.96070430527278983</v>
      </c>
      <c r="K49" s="17">
        <f t="shared" ref="K49:L49" si="160">(K7-L7)/(2*$B$2)</f>
        <v>-0.10509503265196188</v>
      </c>
      <c r="L49" s="17">
        <f t="shared" si="160"/>
        <v>0.1415894759354154</v>
      </c>
      <c r="M49" s="17">
        <f t="shared" ref="M49:O49" si="161">(M7-N7)/(2*$B$2)</f>
        <v>0.17014630219047466</v>
      </c>
      <c r="N49" s="17">
        <f t="shared" si="161"/>
        <v>0.14568064903731637</v>
      </c>
      <c r="O49" s="17">
        <f t="shared" si="161"/>
        <v>0.12803075812515033</v>
      </c>
      <c r="P49" s="17">
        <f t="shared" ref="P49" si="162">(P7-Q7)/$B$2</f>
        <v>-4.7545772390719341</v>
      </c>
      <c r="Q49" s="17">
        <f t="shared" ref="Q49:S49" si="163">(Q7-R7)/(2*$B$2)</f>
        <v>-3.074427791398489</v>
      </c>
      <c r="R49" s="17">
        <f t="shared" si="163"/>
        <v>-4.7297073685881506</v>
      </c>
      <c r="S49" s="17">
        <f t="shared" si="163"/>
        <v>-7.8606465342897787</v>
      </c>
      <c r="T49" s="17">
        <f t="shared" ref="T49:V49" si="164">(T7-U7)/(2*$B$2)</f>
        <v>-12.967224518653314</v>
      </c>
      <c r="U49" s="17">
        <f t="shared" si="164"/>
        <v>-18.990705167534298</v>
      </c>
      <c r="V49" s="17">
        <f t="shared" si="152"/>
        <v>-37.981410335068595</v>
      </c>
    </row>
    <row r="50" spans="6:22" x14ac:dyDescent="0.25">
      <c r="F50" s="3"/>
      <c r="G50" s="11">
        <f t="shared" si="150"/>
        <v>0.7</v>
      </c>
      <c r="H50" s="17">
        <f t="shared" si="158"/>
        <v>50.028076336785681</v>
      </c>
      <c r="I50" s="17">
        <f t="shared" si="159"/>
        <v>24.98596183160716</v>
      </c>
      <c r="J50" s="17">
        <f t="shared" si="151"/>
        <v>-2.3102330606740016</v>
      </c>
      <c r="K50" s="17">
        <f t="shared" ref="K50:L50" si="165">(K8-L8)/(2*$B$2)</f>
        <v>-1.9433958929682693E-2</v>
      </c>
      <c r="L50" s="17">
        <f t="shared" si="165"/>
        <v>0.46410187516757945</v>
      </c>
      <c r="M50" s="17">
        <f t="shared" ref="M50:O50" si="166">(M8-N8)/(2*$B$2)</f>
        <v>0.32390222447047706</v>
      </c>
      <c r="N50" s="17">
        <f t="shared" si="166"/>
        <v>0.21424472832451497</v>
      </c>
      <c r="O50" s="17">
        <f t="shared" si="166"/>
        <v>0.17230166130411192</v>
      </c>
      <c r="P50" s="17">
        <f t="shared" ref="P50" si="167">(P8-Q8)/$B$2</f>
        <v>-5.2737322122367285</v>
      </c>
      <c r="Q50" s="17">
        <f t="shared" ref="Q50:S50" si="168">(Q8-R8)/(2*$B$2)</f>
        <v>-3.3062773893316137</v>
      </c>
      <c r="R50" s="17">
        <f t="shared" si="168"/>
        <v>-4.9410183099468581</v>
      </c>
      <c r="S50" s="17">
        <f t="shared" si="168"/>
        <v>-8.1888295207288255</v>
      </c>
      <c r="T50" s="17">
        <f t="shared" ref="T50:V50" si="169">(T8-U8)/(2*$B$2)</f>
        <v>-13.693653171174933</v>
      </c>
      <c r="U50" s="17">
        <f t="shared" si="169"/>
        <v>-17.233355502699403</v>
      </c>
      <c r="V50" s="17">
        <f t="shared" si="152"/>
        <v>-34.466711005398807</v>
      </c>
    </row>
    <row r="51" spans="6:22" x14ac:dyDescent="0.25">
      <c r="F51" s="3"/>
      <c r="G51" s="11">
        <f t="shared" si="150"/>
        <v>0.6</v>
      </c>
      <c r="H51" s="17">
        <f t="shared" si="158"/>
        <v>46.771484932899469</v>
      </c>
      <c r="I51" s="17">
        <f t="shared" si="159"/>
        <v>26.614257533550262</v>
      </c>
      <c r="J51" s="17">
        <f t="shared" si="151"/>
        <v>-5.9311280612427906</v>
      </c>
      <c r="K51" s="17">
        <f t="shared" ref="K51:L51" si="170">(K9-L9)/(2*$B$2)</f>
        <v>0.71837362714431585</v>
      </c>
      <c r="L51" s="17">
        <f t="shared" si="170"/>
        <v>1.4103496118649796</v>
      </c>
      <c r="M51" s="17">
        <f t="shared" ref="M51" si="171">(M9-N9)/$B$2</f>
        <v>0.89423156625010958</v>
      </c>
      <c r="N51" s="17">
        <f t="shared" ref="N51:O51" si="172">(N9-O9)/(2*$B$2)</f>
        <v>0.21509502881228035</v>
      </c>
      <c r="O51" s="17">
        <f t="shared" si="172"/>
        <v>0.17462997967476468</v>
      </c>
      <c r="P51" s="17">
        <f t="shared" ref="P51" si="173">(P9-Q9)/$B$2</f>
        <v>-4.4540650389428711</v>
      </c>
      <c r="Q51" s="17">
        <f t="shared" ref="Q51:S51" si="174">(Q9-R9)/(2*$B$2)</f>
        <v>-2.5728028696043208</v>
      </c>
      <c r="R51" s="17">
        <f t="shared" si="174"/>
        <v>-3.5392535513756389</v>
      </c>
      <c r="S51" s="17">
        <f t="shared" si="174"/>
        <v>-6.2600040667611179</v>
      </c>
      <c r="T51" s="17">
        <f t="shared" ref="T51" si="175">(T9-U9)/$B$2</f>
        <v>-32.770397882882705</v>
      </c>
      <c r="U51" s="17">
        <f t="shared" ref="U51:V51" si="176">(U9-V9)/(2*$B$2)</f>
        <v>-19.015708051346131</v>
      </c>
      <c r="V51" s="17">
        <f t="shared" si="152"/>
        <v>-38.031416102692262</v>
      </c>
    </row>
    <row r="52" spans="6:22" x14ac:dyDescent="0.25">
      <c r="F52" s="3"/>
      <c r="G52" s="11">
        <f t="shared" si="150"/>
        <v>0.5</v>
      </c>
      <c r="H52" s="17">
        <f t="shared" si="158"/>
        <v>37.057863344818948</v>
      </c>
      <c r="I52" s="17">
        <f t="shared" si="159"/>
        <v>16.324985249102244</v>
      </c>
      <c r="J52" s="17">
        <f>(J10-K10)/$B$2</f>
        <v>13.372266984596353</v>
      </c>
      <c r="K52" s="17">
        <f t="shared" ref="K52:L52" si="177">(K10-L10)/(2*$B$2)</f>
        <v>4.4481424947500185</v>
      </c>
      <c r="L52" s="17">
        <f t="shared" si="177"/>
        <v>4.0118070914400814</v>
      </c>
      <c r="M52" s="17">
        <f t="shared" ref="M52" si="178">(M10-N10)/$B$2</f>
        <v>-0.32176711036263406</v>
      </c>
      <c r="N52" s="17">
        <f t="shared" ref="N52:O52" si="179">(N10-O10)/(2*$B$2)</f>
        <v>2.4389105678465153E-2</v>
      </c>
      <c r="O52" s="17">
        <f t="shared" si="179"/>
        <v>0.13649444950285186</v>
      </c>
      <c r="P52" s="17">
        <f t="shared" ref="P52" si="180">(P10-Q10)/$B$2</f>
        <v>-2.9428658038486453</v>
      </c>
      <c r="Q52" s="17">
        <f t="shared" ref="Q52:S52" si="181">(Q10-R10)/(2*$B$2)</f>
        <v>-1.2186440984731099</v>
      </c>
      <c r="R52" s="17">
        <f t="shared" si="181"/>
        <v>-0.38319436782595417</v>
      </c>
      <c r="S52" s="17">
        <f t="shared" si="181"/>
        <v>3.073271368223387</v>
      </c>
      <c r="T52" s="17">
        <f t="shared" ref="T52" si="182">(T10-U10)/$B$2</f>
        <v>-53.142864106902024</v>
      </c>
      <c r="U52" s="17">
        <f t="shared" ref="U52:V52" si="183">(U10-V10)/(2*$B$2)</f>
        <v>-23.428567946548984</v>
      </c>
      <c r="V52" s="17">
        <f t="shared" si="152"/>
        <v>-46.857135893097968</v>
      </c>
    </row>
    <row r="53" spans="6:22" x14ac:dyDescent="0.25">
      <c r="F53" s="3"/>
      <c r="G53" s="11">
        <f t="shared" si="150"/>
        <v>0.4</v>
      </c>
      <c r="H53" s="17">
        <f t="shared" si="158"/>
        <v>31.752134054983419</v>
      </c>
      <c r="I53" s="17">
        <f t="shared" si="159"/>
        <v>13.470618406133736</v>
      </c>
      <c r="J53" s="17">
        <f t="shared" si="159"/>
        <v>8.9369697324632913</v>
      </c>
      <c r="K53" s="17">
        <f t="shared" si="159"/>
        <v>6.3762561252899763</v>
      </c>
      <c r="L53" s="17">
        <f t="shared" si="159"/>
        <v>5.3400887086212867</v>
      </c>
      <c r="M53" s="17">
        <f t="shared" ref="M53" si="184">(M11-N11)/$B$2</f>
        <v>-0.23463294245070077</v>
      </c>
      <c r="N53" s="17">
        <f t="shared" ref="N53:O53" si="185">(N11-O11)/(2*$B$2)</f>
        <v>-9.3148191705175742E-2</v>
      </c>
      <c r="O53" s="17">
        <f t="shared" si="185"/>
        <v>-0.1738864017460979</v>
      </c>
      <c r="P53" s="17">
        <f t="shared" ref="P53" si="186">(P11-Q11)/$B$2</f>
        <v>-1.1685428161879474</v>
      </c>
      <c r="Q53" s="17">
        <f t="shared" ref="Q53:S53" si="187">(Q11-R11)/(2*$B$2)</f>
        <v>-0.44715266021269545</v>
      </c>
      <c r="R53" s="17">
        <f t="shared" si="187"/>
        <v>0.15185527181286823</v>
      </c>
      <c r="S53" s="17">
        <f t="shared" si="187"/>
        <v>1.263919861170425</v>
      </c>
      <c r="T53" s="17">
        <f t="shared" ref="T53" si="188">(T11-U11)/$B$2</f>
        <v>-50.6028725870746</v>
      </c>
      <c r="U53" s="17">
        <f t="shared" ref="U53:V53" si="189">(U11-V11)/(2*$B$2)</f>
        <v>-24.698563706462696</v>
      </c>
      <c r="V53" s="17">
        <f t="shared" si="152"/>
        <v>-49.397127412925393</v>
      </c>
    </row>
    <row r="54" spans="6:22" x14ac:dyDescent="0.25">
      <c r="F54" s="3"/>
      <c r="G54" s="11">
        <f t="shared" si="150"/>
        <v>0.30000000000000004</v>
      </c>
      <c r="H54" s="17">
        <f t="shared" si="158"/>
        <v>31.25730180351513</v>
      </c>
      <c r="I54" s="17">
        <f t="shared" si="159"/>
        <v>12.74445106124336</v>
      </c>
      <c r="J54" s="17">
        <f t="shared" si="159"/>
        <v>9.2148713108262506</v>
      </c>
      <c r="K54" s="17">
        <f t="shared" si="159"/>
        <v>6.77982330324941</v>
      </c>
      <c r="L54" s="17">
        <f t="shared" si="159"/>
        <v>5.6322034229234115</v>
      </c>
      <c r="M54" s="17">
        <f t="shared" ref="M54" si="190">(M12-N12)/$B$2</f>
        <v>-0.19583607338723136</v>
      </c>
      <c r="N54" s="17">
        <f t="shared" ref="N54:O54" si="191">(N12-O12)/(2*$B$2)</f>
        <v>-0.10578305544832141</v>
      </c>
      <c r="O54" s="17">
        <f t="shared" si="191"/>
        <v>-0.15461654752843237</v>
      </c>
      <c r="P54" s="17">
        <f t="shared" ref="P54:S54" si="192">(P12-Q12)/(2*$B$2)</f>
        <v>-0.2446205829911674</v>
      </c>
      <c r="Q54" s="17">
        <f t="shared" si="192"/>
        <v>-0.13754354984332451</v>
      </c>
      <c r="R54" s="17">
        <f t="shared" si="192"/>
        <v>0.17384409274733434</v>
      </c>
      <c r="S54" s="17">
        <f t="shared" si="192"/>
        <v>0.56663767975752699</v>
      </c>
      <c r="T54" s="17">
        <f t="shared" ref="T54" si="193">(T12-U12)/$B$2</f>
        <v>-49.26862658207115</v>
      </c>
      <c r="U54" s="17">
        <f t="shared" ref="U54:V54" si="194">(U12-V12)/(2*$B$2)</f>
        <v>-25.365686708964422</v>
      </c>
      <c r="V54" s="17">
        <f t="shared" si="152"/>
        <v>-50.731373417928843</v>
      </c>
    </row>
    <row r="55" spans="6:22" x14ac:dyDescent="0.25">
      <c r="F55" s="3"/>
      <c r="G55" s="11">
        <f t="shared" si="150"/>
        <v>0.2</v>
      </c>
      <c r="H55" s="17">
        <f t="shared" si="158"/>
        <v>36.530868438032961</v>
      </c>
      <c r="I55" s="17">
        <f t="shared" si="159"/>
        <v>12.663663859705178</v>
      </c>
      <c r="J55" s="17">
        <f t="shared" si="159"/>
        <v>8.3982406146240418</v>
      </c>
      <c r="K55" s="17">
        <f t="shared" si="159"/>
        <v>5.8959629182464779</v>
      </c>
      <c r="L55" s="17">
        <f t="shared" si="159"/>
        <v>4.7766983884078185</v>
      </c>
      <c r="M55" s="17">
        <f t="shared" ref="M55" si="195">(M13-N13)/$B$2</f>
        <v>-0.14131534869498039</v>
      </c>
      <c r="N55" s="17">
        <f t="shared" ref="N55:O55" si="196">(N13-O13)/(2*$B$2)</f>
        <v>-7.7446938411677602E-2</v>
      </c>
      <c r="O55" s="17">
        <f t="shared" si="196"/>
        <v>-9.4182831519948843E-2</v>
      </c>
      <c r="P55" s="17">
        <f t="shared" ref="P55:S55" si="197">(P13-Q13)/(2*$B$2)</f>
        <v>-0.10204426866092502</v>
      </c>
      <c r="Q55" s="17">
        <f t="shared" si="197"/>
        <v>-3.2251699009230028E-2</v>
      </c>
      <c r="R55" s="17">
        <f t="shared" si="197"/>
        <v>0.11443397818434585</v>
      </c>
      <c r="S55" s="17">
        <f t="shared" si="197"/>
        <v>0.26214943376492583</v>
      </c>
      <c r="T55" s="17">
        <f t="shared" ref="T55" si="198">(T13-U13)/$B$2</f>
        <v>-46.471633746489701</v>
      </c>
      <c r="U55" s="17">
        <f t="shared" ref="U55:V55" si="199">(U13-V13)/(2*$B$2)</f>
        <v>-26.764183126755146</v>
      </c>
      <c r="V55" s="17">
        <f t="shared" si="152"/>
        <v>-53.528366253510292</v>
      </c>
    </row>
    <row r="56" spans="6:22" x14ac:dyDescent="0.25">
      <c r="F56" s="3"/>
      <c r="G56" s="11">
        <f>G57+B$2</f>
        <v>0.1</v>
      </c>
      <c r="H56" s="17">
        <f t="shared" si="158"/>
        <v>53.007975654563886</v>
      </c>
      <c r="I56" s="17">
        <f t="shared" si="159"/>
        <v>11.246529085136613</v>
      </c>
      <c r="J56" s="17">
        <f t="shared" si="159"/>
        <v>5.8184647714161786</v>
      </c>
      <c r="K56" s="17">
        <f t="shared" si="159"/>
        <v>3.6290891501814468</v>
      </c>
      <c r="L56" s="17">
        <f t="shared" si="159"/>
        <v>2.8019291659838172</v>
      </c>
      <c r="M56" s="17">
        <f t="shared" ref="M56" si="200">(M14-N14)/$B$2</f>
        <v>-7.3216667766504914E-2</v>
      </c>
      <c r="N56" s="17">
        <f t="shared" ref="N56:O56" si="201">(N14-O14)/(2*$B$2)</f>
        <v>-3.9168935446573967E-2</v>
      </c>
      <c r="O56" s="17">
        <f t="shared" si="201"/>
        <v>-4.2619146476663393E-2</v>
      </c>
      <c r="P56" s="17">
        <f t="shared" ref="P56:S56" si="202">(P14-Q14)/(2*$B$2)</f>
        <v>-3.7128336154205674E-2</v>
      </c>
      <c r="Q56" s="17">
        <f t="shared" si="202"/>
        <v>-3.8464787339823406E-3</v>
      </c>
      <c r="R56" s="17">
        <f t="shared" si="202"/>
        <v>5.3991104766264085E-2</v>
      </c>
      <c r="S56" s="17">
        <f t="shared" si="202"/>
        <v>0.10538012592841374</v>
      </c>
      <c r="T56" s="17">
        <f t="shared" ref="T56" si="203">(T14-U14)/$B$2</f>
        <v>-36.617908436511108</v>
      </c>
      <c r="U56" s="17">
        <f t="shared" ref="U56:V56" si="204">(U14-V14)/(2*$B$2)</f>
        <v>-31.691045781744442</v>
      </c>
      <c r="V56" s="17">
        <f t="shared" si="152"/>
        <v>-63.382091563488885</v>
      </c>
    </row>
    <row r="57" spans="6:22" x14ac:dyDescent="0.25">
      <c r="F57" s="3"/>
      <c r="G57" s="11">
        <v>0</v>
      </c>
      <c r="H57" s="17">
        <f>(H15-I15)/$B$2</f>
        <v>0</v>
      </c>
      <c r="I57" s="17">
        <f t="shared" ref="H53:V57" si="205">(I15-J15)/$B$2</f>
        <v>0</v>
      </c>
      <c r="J57" s="17">
        <f t="shared" si="205"/>
        <v>0</v>
      </c>
      <c r="K57" s="17">
        <f t="shared" si="205"/>
        <v>0</v>
      </c>
      <c r="L57" s="17">
        <f t="shared" si="205"/>
        <v>0</v>
      </c>
      <c r="M57" s="17">
        <f t="shared" si="205"/>
        <v>0</v>
      </c>
      <c r="N57" s="17">
        <f t="shared" si="205"/>
        <v>0</v>
      </c>
      <c r="O57" s="17">
        <f t="shared" si="205"/>
        <v>0</v>
      </c>
      <c r="P57" s="17">
        <f t="shared" si="205"/>
        <v>0</v>
      </c>
      <c r="Q57" s="17">
        <f t="shared" si="205"/>
        <v>0</v>
      </c>
      <c r="R57" s="17">
        <f t="shared" si="205"/>
        <v>0</v>
      </c>
      <c r="S57" s="17">
        <f t="shared" si="205"/>
        <v>0</v>
      </c>
      <c r="T57" s="17">
        <f t="shared" si="205"/>
        <v>0</v>
      </c>
      <c r="U57" s="17">
        <f t="shared" si="205"/>
        <v>0</v>
      </c>
      <c r="V57" s="17">
        <f>(U15-V15)/$B$2</f>
        <v>0</v>
      </c>
    </row>
    <row r="58" spans="6:22" x14ac:dyDescent="0.25">
      <c r="F58" s="3"/>
      <c r="G58" s="10"/>
      <c r="H58" s="11">
        <v>0</v>
      </c>
      <c r="I58" s="11">
        <f>H58+$B$2</f>
        <v>0.1</v>
      </c>
      <c r="J58" s="11">
        <f t="shared" ref="J58:V58" si="206">I58+$B$2</f>
        <v>0.2</v>
      </c>
      <c r="K58" s="11">
        <f t="shared" si="206"/>
        <v>0.30000000000000004</v>
      </c>
      <c r="L58" s="11">
        <f t="shared" si="206"/>
        <v>0.4</v>
      </c>
      <c r="M58" s="11">
        <f t="shared" si="206"/>
        <v>0.5</v>
      </c>
      <c r="N58" s="11">
        <f t="shared" si="206"/>
        <v>0.6</v>
      </c>
      <c r="O58" s="14">
        <f t="shared" si="206"/>
        <v>0.7</v>
      </c>
      <c r="P58" s="11">
        <f t="shared" si="206"/>
        <v>0.79999999999999993</v>
      </c>
      <c r="Q58" s="11">
        <f t="shared" si="206"/>
        <v>0.89999999999999991</v>
      </c>
      <c r="R58" s="11">
        <f t="shared" si="206"/>
        <v>0.99999999999999989</v>
      </c>
      <c r="S58" s="11">
        <f t="shared" si="206"/>
        <v>1.0999999999999999</v>
      </c>
      <c r="T58" s="11">
        <f t="shared" si="206"/>
        <v>1.2</v>
      </c>
      <c r="U58" s="11">
        <f t="shared" si="206"/>
        <v>1.3</v>
      </c>
      <c r="V58" s="11">
        <f t="shared" si="206"/>
        <v>1.4000000000000001</v>
      </c>
    </row>
    <row r="59" spans="6:22" x14ac:dyDescent="0.25">
      <c r="F59" s="3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</row>
    <row r="60" spans="6:22" x14ac:dyDescent="0.25">
      <c r="F60" s="3"/>
      <c r="G60" s="10"/>
      <c r="H60" s="11">
        <v>1</v>
      </c>
      <c r="I60" s="11">
        <v>2</v>
      </c>
      <c r="J60" s="11">
        <v>3</v>
      </c>
      <c r="K60" s="11">
        <v>4</v>
      </c>
      <c r="L60" s="11">
        <v>5</v>
      </c>
      <c r="M60" s="11">
        <v>6</v>
      </c>
      <c r="N60" s="11">
        <v>7</v>
      </c>
      <c r="O60" s="11">
        <v>8</v>
      </c>
      <c r="P60" s="11">
        <v>9</v>
      </c>
      <c r="Q60" s="11">
        <v>10</v>
      </c>
      <c r="R60" s="11">
        <v>11</v>
      </c>
      <c r="S60" s="11">
        <v>12</v>
      </c>
      <c r="T60" s="11">
        <v>13</v>
      </c>
      <c r="U60" s="11">
        <v>14</v>
      </c>
      <c r="V60" s="11">
        <v>15</v>
      </c>
    </row>
    <row r="61" spans="6:22" x14ac:dyDescent="0.25">
      <c r="F61" s="3"/>
      <c r="G61" s="11">
        <f t="shared" ref="G61:G69" si="207">G62+B$2</f>
        <v>0.99999999999999989</v>
      </c>
      <c r="H61" s="12">
        <f>(H33^2+H47^2)^0.5</f>
        <v>100</v>
      </c>
      <c r="I61" s="12">
        <f t="shared" ref="I61:V61" si="208">(I33^2+I47^2)^0.5</f>
        <v>36.664794909192224</v>
      </c>
      <c r="J61" s="12">
        <f t="shared" si="208"/>
        <v>0</v>
      </c>
      <c r="K61" s="12">
        <f t="shared" si="208"/>
        <v>0.36169051641878208</v>
      </c>
      <c r="L61" s="12">
        <f t="shared" si="208"/>
        <v>0.4860582663665784</v>
      </c>
      <c r="M61" s="12">
        <f t="shared" si="208"/>
        <v>0.41164892159617855</v>
      </c>
      <c r="N61" s="12">
        <f t="shared" si="208"/>
        <v>0.27282296505623305</v>
      </c>
      <c r="O61" s="12">
        <f t="shared" si="208"/>
        <v>0.13222100088305341</v>
      </c>
      <c r="P61" s="12">
        <f t="shared" si="208"/>
        <v>0</v>
      </c>
      <c r="Q61" s="12">
        <f t="shared" si="208"/>
        <v>2.8411492641582767</v>
      </c>
      <c r="R61" s="12">
        <f t="shared" si="208"/>
        <v>6.6100199677433054</v>
      </c>
      <c r="S61" s="12">
        <f t="shared" si="208"/>
        <v>12.695502569060858</v>
      </c>
      <c r="T61" s="12">
        <f t="shared" si="208"/>
        <v>23.809143014551335</v>
      </c>
      <c r="U61" s="12">
        <f t="shared" si="208"/>
        <v>46.456933140792437</v>
      </c>
      <c r="V61" s="12">
        <f t="shared" si="208"/>
        <v>100</v>
      </c>
    </row>
    <row r="62" spans="6:22" x14ac:dyDescent="0.25">
      <c r="F62" s="3"/>
      <c r="G62" s="11">
        <f t="shared" si="207"/>
        <v>0.89999999999999991</v>
      </c>
      <c r="H62" s="12">
        <f t="shared" ref="H62:V62" si="209">(H34^2+H48^2)^0.5</f>
        <v>118.36954086205911</v>
      </c>
      <c r="I62" s="12">
        <f t="shared" si="209"/>
        <v>29.670634601373372</v>
      </c>
      <c r="J62" s="12">
        <f t="shared" si="209"/>
        <v>0.36169051641878208</v>
      </c>
      <c r="K62" s="12">
        <f t="shared" si="209"/>
        <v>0.4843604286574078</v>
      </c>
      <c r="L62" s="12">
        <f t="shared" si="209"/>
        <v>0.58662815685010339</v>
      </c>
      <c r="M62" s="12">
        <f t="shared" si="209"/>
        <v>0.44925252108847191</v>
      </c>
      <c r="N62" s="12">
        <f t="shared" si="209"/>
        <v>0.28259540423226392</v>
      </c>
      <c r="O62" s="12">
        <f t="shared" si="209"/>
        <v>0.14409189184242757</v>
      </c>
      <c r="P62" s="12">
        <f t="shared" si="209"/>
        <v>2.8411492641582767</v>
      </c>
      <c r="Q62" s="12">
        <f t="shared" si="209"/>
        <v>3.0335783780315619</v>
      </c>
      <c r="R62" s="12">
        <f t="shared" si="209"/>
        <v>6.2433553837649454</v>
      </c>
      <c r="S62" s="12">
        <f t="shared" si="209"/>
        <v>11.599122430862554</v>
      </c>
      <c r="T62" s="12">
        <f t="shared" si="209"/>
        <v>21.301335653172462</v>
      </c>
      <c r="U62" s="12">
        <f t="shared" si="209"/>
        <v>40.96695458755967</v>
      </c>
      <c r="V62" s="12">
        <f t="shared" si="209"/>
        <v>73.258856179233177</v>
      </c>
    </row>
    <row r="63" spans="6:22" x14ac:dyDescent="0.25">
      <c r="F63" s="3"/>
      <c r="G63" s="11">
        <f t="shared" si="207"/>
        <v>0.79999999999999993</v>
      </c>
      <c r="H63" s="12">
        <f t="shared" ref="H63:V63" si="210">(H35^2+H49^2)^0.5</f>
        <v>53.340820358050323</v>
      </c>
      <c r="I63" s="12">
        <f t="shared" si="210"/>
        <v>24.259836770554809</v>
      </c>
      <c r="J63" s="12">
        <f>(J35^2+J49^2)^0.5</f>
        <v>0.96070430527278983</v>
      </c>
      <c r="K63" s="12">
        <f t="shared" si="210"/>
        <v>0.97992319983826692</v>
      </c>
      <c r="L63" s="12">
        <f t="shared" si="210"/>
        <v>0.94222057743137377</v>
      </c>
      <c r="M63" s="12">
        <f t="shared" si="210"/>
        <v>0.53253666563332358</v>
      </c>
      <c r="N63" s="12">
        <f t="shared" si="210"/>
        <v>0.28946558215807744</v>
      </c>
      <c r="O63" s="12">
        <f t="shared" si="210"/>
        <v>0.16633832291881567</v>
      </c>
      <c r="P63" s="12">
        <f t="shared" si="210"/>
        <v>4.7545772390719341</v>
      </c>
      <c r="Q63" s="12">
        <f t="shared" si="210"/>
        <v>3.3062775434533478</v>
      </c>
      <c r="R63" s="12">
        <f t="shared" si="210"/>
        <v>5.4157068068156748</v>
      </c>
      <c r="S63" s="12">
        <f t="shared" si="210"/>
        <v>9.0757250041453617</v>
      </c>
      <c r="T63" s="12">
        <f t="shared" si="210"/>
        <v>14.816718746620152</v>
      </c>
      <c r="U63" s="12">
        <f t="shared" si="210"/>
        <v>21.251440443544052</v>
      </c>
      <c r="V63" s="12">
        <f t="shared" si="210"/>
        <v>37.981410335068595</v>
      </c>
    </row>
    <row r="64" spans="6:22" x14ac:dyDescent="0.25">
      <c r="F64" s="3"/>
      <c r="G64" s="11">
        <f t="shared" si="207"/>
        <v>0.7</v>
      </c>
      <c r="H64" s="12">
        <f t="shared" ref="H64:V64" si="211">(H36^2+H50^2)^0.5</f>
        <v>50.028076336785681</v>
      </c>
      <c r="I64" s="12">
        <f t="shared" si="211"/>
        <v>25.200939082354953</v>
      </c>
      <c r="J64" s="12">
        <f t="shared" si="211"/>
        <v>2.3102330606740016</v>
      </c>
      <c r="K64" s="12">
        <f t="shared" si="211"/>
        <v>2.4852878620468521</v>
      </c>
      <c r="L64" s="12">
        <f t="shared" si="211"/>
        <v>1.7253350612939726</v>
      </c>
      <c r="M64" s="12">
        <f t="shared" si="211"/>
        <v>0.50926255896033812</v>
      </c>
      <c r="N64" s="12">
        <f t="shared" si="211"/>
        <v>0.24363899381491344</v>
      </c>
      <c r="O64" s="12">
        <f t="shared" si="211"/>
        <v>0.17849187638989888</v>
      </c>
      <c r="P64" s="12">
        <f t="shared" si="211"/>
        <v>5.2737322122367285</v>
      </c>
      <c r="Q64" s="12">
        <f t="shared" si="211"/>
        <v>3.3096898753224711</v>
      </c>
      <c r="R64" s="12">
        <f t="shared" si="211"/>
        <v>4.9838349497038568</v>
      </c>
      <c r="S64" s="12">
        <f t="shared" si="211"/>
        <v>8.3935169374235148</v>
      </c>
      <c r="T64" s="12">
        <f t="shared" si="211"/>
        <v>14.119852333016484</v>
      </c>
      <c r="U64" s="12">
        <f t="shared" si="211"/>
        <v>17.233373640312529</v>
      </c>
      <c r="V64" s="12">
        <f t="shared" si="211"/>
        <v>34.466711005398807</v>
      </c>
    </row>
    <row r="65" spans="6:22" x14ac:dyDescent="0.25">
      <c r="F65" s="3"/>
      <c r="G65" s="11">
        <f t="shared" si="207"/>
        <v>0.6</v>
      </c>
      <c r="H65" s="12">
        <f t="shared" ref="H65:V65" si="212">(H37^2+H51^2)^0.5</f>
        <v>46.771484932899469</v>
      </c>
      <c r="I65" s="12">
        <f t="shared" si="212"/>
        <v>27.39297921596668</v>
      </c>
      <c r="J65" s="12">
        <f t="shared" si="212"/>
        <v>30.867355094998622</v>
      </c>
      <c r="K65" s="12">
        <f t="shared" si="212"/>
        <v>7.3400712967968245</v>
      </c>
      <c r="L65" s="12">
        <f t="shared" si="212"/>
        <v>3.1684556260525776</v>
      </c>
      <c r="M65" s="12">
        <f t="shared" si="212"/>
        <v>1.6788683769669004</v>
      </c>
      <c r="N65" s="12">
        <f t="shared" si="212"/>
        <v>0.31175244388865614</v>
      </c>
      <c r="O65" s="12">
        <f t="shared" si="212"/>
        <v>0.17826324976895552</v>
      </c>
      <c r="P65" s="12">
        <f t="shared" si="212"/>
        <v>4.4540650389428711</v>
      </c>
      <c r="Q65" s="12">
        <f t="shared" si="212"/>
        <v>2.8244555509482208</v>
      </c>
      <c r="R65" s="12">
        <f t="shared" si="212"/>
        <v>4.8071568855362443</v>
      </c>
      <c r="S65" s="12">
        <f t="shared" si="212"/>
        <v>10.009878137989162</v>
      </c>
      <c r="T65" s="12">
        <f t="shared" si="212"/>
        <v>50.289312680810248</v>
      </c>
      <c r="U65" s="12">
        <f t="shared" si="212"/>
        <v>19.999445240267509</v>
      </c>
      <c r="V65" s="12">
        <f t="shared" si="212"/>
        <v>38.031416102692262</v>
      </c>
    </row>
    <row r="66" spans="6:22" x14ac:dyDescent="0.25">
      <c r="F66" s="3"/>
      <c r="G66" s="11">
        <f t="shared" si="207"/>
        <v>0.5</v>
      </c>
      <c r="H66" s="12">
        <f t="shared" ref="H66:V66" si="213">(H38^2+H52^2)^0.5</f>
        <v>37.057863344818948</v>
      </c>
      <c r="I66" s="12">
        <f t="shared" si="213"/>
        <v>17.969428721634291</v>
      </c>
      <c r="J66" s="12">
        <f t="shared" si="213"/>
        <v>24.604408687975919</v>
      </c>
      <c r="K66" s="12">
        <f t="shared" si="213"/>
        <v>9.8164217676721375</v>
      </c>
      <c r="L66" s="12">
        <f t="shared" si="213"/>
        <v>5.0656308654394504</v>
      </c>
      <c r="M66" s="12">
        <f t="shared" si="213"/>
        <v>1.7043309876121431</v>
      </c>
      <c r="N66" s="12">
        <f t="shared" si="213"/>
        <v>0.27349815291670876</v>
      </c>
      <c r="O66" s="12">
        <f t="shared" si="213"/>
        <v>0.14112001725172557</v>
      </c>
      <c r="P66" s="12">
        <f t="shared" si="213"/>
        <v>3.0416051852819344</v>
      </c>
      <c r="Q66" s="12">
        <f t="shared" si="213"/>
        <v>1.7517674744043354</v>
      </c>
      <c r="R66" s="12">
        <f t="shared" si="213"/>
        <v>3.4056866767801939</v>
      </c>
      <c r="S66" s="12">
        <f t="shared" si="213"/>
        <v>7.7138197025309827</v>
      </c>
      <c r="T66" s="12">
        <f t="shared" si="213"/>
        <v>60.635782109391648</v>
      </c>
      <c r="U66" s="12">
        <f t="shared" si="213"/>
        <v>24.107937373880677</v>
      </c>
      <c r="V66" s="12">
        <f t="shared" si="213"/>
        <v>46.857135893097968</v>
      </c>
    </row>
    <row r="67" spans="6:22" x14ac:dyDescent="0.25">
      <c r="F67" s="3"/>
      <c r="G67" s="11">
        <f t="shared" si="207"/>
        <v>0.4</v>
      </c>
      <c r="H67" s="12">
        <f t="shared" ref="H67:V67" si="214">(H39^2+H53^2)^0.5</f>
        <v>31.752134054983419</v>
      </c>
      <c r="I67" s="12">
        <f t="shared" si="214"/>
        <v>13.779302913873483</v>
      </c>
      <c r="J67" s="12">
        <f t="shared" si="214"/>
        <v>11.039492312847647</v>
      </c>
      <c r="K67" s="12">
        <f t="shared" si="214"/>
        <v>7.501703532909838</v>
      </c>
      <c r="L67" s="12">
        <f t="shared" si="214"/>
        <v>5.5805225281356217</v>
      </c>
      <c r="M67" s="12">
        <f t="shared" si="214"/>
        <v>0.23463294245070077</v>
      </c>
      <c r="N67" s="12">
        <f t="shared" si="214"/>
        <v>0.11243327859832795</v>
      </c>
      <c r="O67" s="12">
        <f t="shared" si="214"/>
        <v>0.18642213797460608</v>
      </c>
      <c r="P67" s="12">
        <f t="shared" si="214"/>
        <v>1.3707875243305352</v>
      </c>
      <c r="Q67" s="12">
        <f t="shared" si="214"/>
        <v>0.97684620562453928</v>
      </c>
      <c r="R67" s="12">
        <f t="shared" si="214"/>
        <v>1.9555003390945367</v>
      </c>
      <c r="S67" s="12">
        <f t="shared" si="214"/>
        <v>2.8072594934585275</v>
      </c>
      <c r="T67" s="12">
        <f t="shared" si="214"/>
        <v>50.6028725870746</v>
      </c>
      <c r="U67" s="12">
        <f t="shared" si="214"/>
        <v>24.774411764195296</v>
      </c>
      <c r="V67" s="12">
        <f t="shared" si="214"/>
        <v>49.397127412925393</v>
      </c>
    </row>
    <row r="68" spans="6:22" x14ac:dyDescent="0.25">
      <c r="F68" s="3"/>
      <c r="G68" s="11">
        <f t="shared" si="207"/>
        <v>0.30000000000000004</v>
      </c>
      <c r="H68" s="12">
        <f t="shared" ref="H68:V68" si="215">(H40^2+H54^2)^0.5</f>
        <v>31.25730180351513</v>
      </c>
      <c r="I68" s="12">
        <f t="shared" si="215"/>
        <v>12.966499467025091</v>
      </c>
      <c r="J68" s="12">
        <f t="shared" si="215"/>
        <v>9.3497531012561552</v>
      </c>
      <c r="K68" s="12">
        <f t="shared" si="215"/>
        <v>6.8596850750126483</v>
      </c>
      <c r="L68" s="12">
        <f t="shared" si="215"/>
        <v>5.6603113032853969</v>
      </c>
      <c r="M68" s="12">
        <f t="shared" si="215"/>
        <v>0.19583607338723136</v>
      </c>
      <c r="N68" s="12">
        <f t="shared" si="215"/>
        <v>0.11561616732132257</v>
      </c>
      <c r="O68" s="12">
        <f t="shared" si="215"/>
        <v>0.16671848315944551</v>
      </c>
      <c r="P68" s="12">
        <f t="shared" si="215"/>
        <v>0.28288036669833716</v>
      </c>
      <c r="Q68" s="12">
        <f t="shared" si="215"/>
        <v>0.63926299823571531</v>
      </c>
      <c r="R68" s="12">
        <f t="shared" si="215"/>
        <v>1.0536323844912869</v>
      </c>
      <c r="S68" s="12">
        <f t="shared" si="215"/>
        <v>1.1509223472264278</v>
      </c>
      <c r="T68" s="12">
        <f t="shared" si="215"/>
        <v>49.26862658207115</v>
      </c>
      <c r="U68" s="12">
        <f t="shared" si="215"/>
        <v>25.449653156906159</v>
      </c>
      <c r="V68" s="12">
        <f t="shared" si="215"/>
        <v>50.731373417928843</v>
      </c>
    </row>
    <row r="69" spans="6:22" x14ac:dyDescent="0.25">
      <c r="F69" s="3"/>
      <c r="G69" s="11">
        <f t="shared" si="207"/>
        <v>0.2</v>
      </c>
      <c r="H69" s="12">
        <f t="shared" ref="H69:V69" si="216">(H41^2+H55^2)^0.5</f>
        <v>36.530868438032961</v>
      </c>
      <c r="I69" s="12">
        <f t="shared" si="216"/>
        <v>16.692553297661718</v>
      </c>
      <c r="J69" s="12">
        <f t="shared" si="216"/>
        <v>12.588342089198326</v>
      </c>
      <c r="K69" s="12">
        <f t="shared" si="216"/>
        <v>8.3985022673044902</v>
      </c>
      <c r="L69" s="12">
        <f t="shared" si="216"/>
        <v>5.552233772394028</v>
      </c>
      <c r="M69" s="12">
        <f t="shared" si="216"/>
        <v>0.14131534869498039</v>
      </c>
      <c r="N69" s="12">
        <f t="shared" si="216"/>
        <v>9.877706175037422E-2</v>
      </c>
      <c r="O69" s="12">
        <f t="shared" si="216"/>
        <v>0.15885499739063719</v>
      </c>
      <c r="P69" s="12">
        <f t="shared" si="216"/>
        <v>0.26072059072287501</v>
      </c>
      <c r="Q69" s="12">
        <f t="shared" si="216"/>
        <v>0.44857439277510541</v>
      </c>
      <c r="R69" s="12">
        <f t="shared" si="216"/>
        <v>0.59227071273702225</v>
      </c>
      <c r="S69" s="12">
        <f t="shared" si="216"/>
        <v>0.53054769492260412</v>
      </c>
      <c r="T69" s="12">
        <f t="shared" si="216"/>
        <v>46.471633746489701</v>
      </c>
      <c r="U69" s="12">
        <f t="shared" si="216"/>
        <v>27.501484793408618</v>
      </c>
      <c r="V69" s="12">
        <f t="shared" si="216"/>
        <v>53.528366253510292</v>
      </c>
    </row>
    <row r="70" spans="6:22" x14ac:dyDescent="0.25">
      <c r="F70" s="3"/>
      <c r="G70" s="11">
        <f>G71+B$2</f>
        <v>0.1</v>
      </c>
      <c r="H70" s="12">
        <f t="shared" ref="H70:V70" si="217">(H42^2+H56^2)^0.5</f>
        <v>113.18058792476225</v>
      </c>
      <c r="I70" s="12">
        <f t="shared" si="217"/>
        <v>33.668487963827445</v>
      </c>
      <c r="J70" s="12">
        <f t="shared" si="217"/>
        <v>19.938752026825274</v>
      </c>
      <c r="K70" s="12">
        <f t="shared" si="217"/>
        <v>11.272798562314527</v>
      </c>
      <c r="L70" s="12">
        <f t="shared" si="217"/>
        <v>5.5378384361597819</v>
      </c>
      <c r="M70" s="12">
        <f t="shared" si="217"/>
        <v>7.3216667766504914E-2</v>
      </c>
      <c r="N70" s="12">
        <f t="shared" si="217"/>
        <v>8.0788071199985032E-2</v>
      </c>
      <c r="O70" s="12">
        <f t="shared" si="217"/>
        <v>0.15411478828114561</v>
      </c>
      <c r="P70" s="12">
        <f t="shared" si="217"/>
        <v>0.24511572573151186</v>
      </c>
      <c r="Q70" s="12">
        <f t="shared" si="217"/>
        <v>0.34435319649289486</v>
      </c>
      <c r="R70" s="12">
        <f t="shared" si="217"/>
        <v>0.38043410145416323</v>
      </c>
      <c r="S70" s="12">
        <f t="shared" si="217"/>
        <v>0.28253724810006836</v>
      </c>
      <c r="T70" s="12">
        <f t="shared" si="217"/>
        <v>36.617908436511108</v>
      </c>
      <c r="U70" s="12">
        <f t="shared" si="217"/>
        <v>39.296635587637681</v>
      </c>
      <c r="V70" s="12">
        <f t="shared" si="217"/>
        <v>80.72973139409352</v>
      </c>
    </row>
    <row r="71" spans="6:22" x14ac:dyDescent="0.25">
      <c r="F71" s="3"/>
      <c r="G71" s="11">
        <v>0</v>
      </c>
      <c r="H71" s="12">
        <f t="shared" ref="H71:V71" si="218">(H43^2+H57^2)^0.5</f>
        <v>100</v>
      </c>
      <c r="I71" s="12">
        <f t="shared" si="218"/>
        <v>46.992024345436114</v>
      </c>
      <c r="J71" s="12">
        <f t="shared" si="218"/>
        <v>24.498966175162884</v>
      </c>
      <c r="K71" s="12">
        <f t="shared" si="218"/>
        <v>12.862036632330529</v>
      </c>
      <c r="L71" s="12">
        <f t="shared" si="218"/>
        <v>5.6038583319676345</v>
      </c>
      <c r="M71" s="12">
        <f t="shared" si="218"/>
        <v>0</v>
      </c>
      <c r="N71" s="12">
        <f t="shared" si="218"/>
        <v>7.3216667766504914E-2</v>
      </c>
      <c r="O71" s="12">
        <f t="shared" si="218"/>
        <v>0.15155453865965285</v>
      </c>
      <c r="P71" s="12">
        <f t="shared" si="218"/>
        <v>0.23679283161297962</v>
      </c>
      <c r="Q71" s="12">
        <f t="shared" si="218"/>
        <v>0.31104950392139097</v>
      </c>
      <c r="R71" s="12">
        <f t="shared" si="218"/>
        <v>0.31874246138935564</v>
      </c>
      <c r="S71" s="12">
        <f t="shared" si="218"/>
        <v>0.21076025185682748</v>
      </c>
      <c r="T71" s="12">
        <f t="shared" si="218"/>
        <v>0</v>
      </c>
      <c r="U71" s="12">
        <f t="shared" si="218"/>
        <v>36.617908436511108</v>
      </c>
      <c r="V71" s="12">
        <f t="shared" si="218"/>
        <v>100</v>
      </c>
    </row>
    <row r="72" spans="6:22" x14ac:dyDescent="0.25">
      <c r="F72" s="3"/>
      <c r="G72" s="10"/>
      <c r="H72" s="11">
        <v>0</v>
      </c>
      <c r="I72" s="11">
        <f>H72+$B$2</f>
        <v>0.1</v>
      </c>
      <c r="J72" s="11">
        <f t="shared" ref="J72:V72" si="219">I72+$B$2</f>
        <v>0.2</v>
      </c>
      <c r="K72" s="11">
        <f t="shared" si="219"/>
        <v>0.30000000000000004</v>
      </c>
      <c r="L72" s="11">
        <f t="shared" si="219"/>
        <v>0.4</v>
      </c>
      <c r="M72" s="11">
        <f t="shared" si="219"/>
        <v>0.5</v>
      </c>
      <c r="N72" s="11">
        <f t="shared" si="219"/>
        <v>0.6</v>
      </c>
      <c r="O72" s="11">
        <f t="shared" si="219"/>
        <v>0.7</v>
      </c>
      <c r="P72" s="11">
        <f t="shared" si="219"/>
        <v>0.79999999999999993</v>
      </c>
      <c r="Q72" s="11">
        <f t="shared" si="219"/>
        <v>0.89999999999999991</v>
      </c>
      <c r="R72" s="11">
        <f t="shared" si="219"/>
        <v>0.99999999999999989</v>
      </c>
      <c r="S72" s="11">
        <f t="shared" si="219"/>
        <v>1.0999999999999999</v>
      </c>
      <c r="T72" s="11">
        <f t="shared" si="219"/>
        <v>1.2</v>
      </c>
      <c r="U72" s="11">
        <f t="shared" si="219"/>
        <v>1.3</v>
      </c>
      <c r="V72" s="11">
        <f t="shared" si="219"/>
        <v>1.4000000000000001</v>
      </c>
    </row>
  </sheetData>
  <conditionalFormatting sqref="H19:V2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theme="4" tint="0.39997558519241921"/>
        <color rgb="FFFFFF00"/>
      </colorScale>
    </cfRule>
  </conditionalFormatting>
  <conditionalFormatting sqref="H61:V71">
    <cfRule type="colorScale" priority="10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max"/>
        <color theme="4"/>
        <color theme="4" tint="0.59999389629810485"/>
      </colorScale>
    </cfRule>
    <cfRule type="colorScale" priority="7">
      <colorScale>
        <cfvo type="min"/>
        <cfvo type="max"/>
        <color theme="4" tint="0.59999389629810485"/>
        <color theme="4"/>
      </colorScale>
    </cfRule>
    <cfRule type="colorScale" priority="6">
      <colorScale>
        <cfvo type="min"/>
        <cfvo type="max"/>
        <color theme="4" tint="0.79998168889431442"/>
        <color theme="4"/>
      </colorScale>
    </cfRule>
    <cfRule type="colorScale" priority="4">
      <colorScale>
        <cfvo type="min"/>
        <cfvo type="max"/>
        <color theme="9"/>
        <color rgb="FFEDAFD5"/>
      </colorScale>
    </cfRule>
    <cfRule type="colorScale" priority="3">
      <colorScale>
        <cfvo type="min"/>
        <cfvo type="max"/>
        <color rgb="FFBA6EA8"/>
        <color rgb="FFBAA7F5"/>
      </colorScale>
    </cfRule>
    <cfRule type="colorScale" priority="2">
      <colorScale>
        <cfvo type="min"/>
        <cfvo type="max"/>
        <color theme="5" tint="0.39997558519241921"/>
        <color rgb="FFBA6EA8"/>
      </colorScale>
    </cfRule>
    <cfRule type="colorScale" priority="1">
      <colorScale>
        <cfvo type="min"/>
        <cfvo type="max"/>
        <color rgb="FFBA6EA8"/>
        <color rgb="FFFFFF00"/>
      </colorScale>
    </cfRule>
  </conditionalFormatting>
  <pageMargins left="0.7" right="0.7" top="0.75" bottom="0.75" header="0.3" footer="0.3"/>
  <pageSetup paperSize="9" orientation="portrait" r:id="rId1"/>
  <ignoredErrors>
    <ignoredError sqref="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Михаил</cp:lastModifiedBy>
  <dcterms:created xsi:type="dcterms:W3CDTF">2021-05-16T19:11:29Z</dcterms:created>
  <dcterms:modified xsi:type="dcterms:W3CDTF">2021-06-15T18:04:15Z</dcterms:modified>
</cp:coreProperties>
</file>