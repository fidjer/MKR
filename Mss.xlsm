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ownloads\"/>
    </mc:Choice>
  </mc:AlternateContent>
  <bookViews>
    <workbookView xWindow="0" yWindow="0" windowWidth="23250" windowHeight="1248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" i="1" l="1"/>
  <c r="T38" i="1" s="1"/>
  <c r="P11" i="1"/>
  <c r="P38" i="1" s="1"/>
  <c r="M9" i="1"/>
  <c r="J10" i="1"/>
  <c r="J37" i="1" s="1"/>
  <c r="H57" i="1"/>
  <c r="M71" i="1"/>
  <c r="T71" i="1"/>
  <c r="J61" i="1"/>
  <c r="P61" i="1"/>
  <c r="H61" i="1"/>
  <c r="V37" i="1"/>
  <c r="V38" i="1"/>
  <c r="V39" i="1"/>
  <c r="V40" i="1"/>
  <c r="V41" i="1"/>
  <c r="V42" i="1"/>
  <c r="V34" i="1"/>
  <c r="V35" i="1"/>
  <c r="V36" i="1"/>
  <c r="T39" i="1"/>
  <c r="T40" i="1"/>
  <c r="T41" i="1"/>
  <c r="M38" i="1"/>
  <c r="M39" i="1"/>
  <c r="M40" i="1"/>
  <c r="M41" i="1"/>
  <c r="M42" i="1"/>
  <c r="T42" i="1"/>
  <c r="P35" i="1"/>
  <c r="P36" i="1"/>
  <c r="P37" i="1"/>
  <c r="J35" i="1"/>
  <c r="J36" i="1"/>
  <c r="J34" i="1"/>
  <c r="P34" i="1"/>
  <c r="M43" i="1"/>
  <c r="T43" i="1"/>
  <c r="V43" i="1"/>
  <c r="V71" i="1" s="1"/>
  <c r="H43" i="1"/>
  <c r="H71" i="1" s="1"/>
  <c r="J33" i="1"/>
  <c r="P33" i="1"/>
  <c r="V33" i="1"/>
  <c r="V61" i="1" s="1"/>
  <c r="H36" i="1"/>
  <c r="H35" i="1"/>
  <c r="H37" i="1"/>
  <c r="H38" i="1"/>
  <c r="H39" i="1"/>
  <c r="H40" i="1"/>
  <c r="H41" i="1"/>
  <c r="H42" i="1"/>
  <c r="H34" i="1"/>
  <c r="Z12" i="1"/>
  <c r="H33" i="1"/>
  <c r="V47" i="1"/>
  <c r="V57" i="1"/>
  <c r="K57" i="1"/>
  <c r="L57" i="1"/>
  <c r="M57" i="1"/>
  <c r="N57" i="1"/>
  <c r="O57" i="1"/>
  <c r="P57" i="1"/>
  <c r="Q57" i="1"/>
  <c r="R57" i="1"/>
  <c r="S57" i="1"/>
  <c r="T57" i="1"/>
  <c r="U57" i="1"/>
  <c r="I57" i="1"/>
  <c r="J57" i="1"/>
  <c r="I47" i="1"/>
  <c r="H47" i="1"/>
  <c r="K47" i="1"/>
  <c r="L47" i="1"/>
  <c r="M47" i="1"/>
  <c r="N47" i="1"/>
  <c r="O47" i="1"/>
  <c r="P47" i="1"/>
  <c r="Q47" i="1"/>
  <c r="R47" i="1"/>
  <c r="S47" i="1"/>
  <c r="T47" i="1"/>
  <c r="U47" i="1"/>
  <c r="J47" i="1"/>
  <c r="Z13" i="1" l="1"/>
  <c r="P12" i="1"/>
  <c r="M8" i="1"/>
  <c r="M37" i="1" s="1"/>
  <c r="U6" i="1"/>
  <c r="K9" i="1"/>
  <c r="K8" i="1"/>
  <c r="P39" i="1" l="1"/>
  <c r="U33" i="1"/>
  <c r="U61" i="1" s="1"/>
  <c r="J50" i="1"/>
  <c r="J64" i="1" s="1"/>
  <c r="J51" i="1"/>
  <c r="J65" i="1" s="1"/>
  <c r="U48" i="1"/>
  <c r="V48" i="1"/>
  <c r="V62" i="1" s="1"/>
  <c r="U9" i="1"/>
  <c r="U10" i="1"/>
  <c r="U11" i="1"/>
  <c r="U12" i="1"/>
  <c r="U13" i="1"/>
  <c r="U42" i="1" s="1"/>
  <c r="U14" i="1"/>
  <c r="U43" i="1" s="1"/>
  <c r="U71" i="1" s="1"/>
  <c r="T6" i="1"/>
  <c r="T7" i="1"/>
  <c r="U7" i="1"/>
  <c r="T8" i="1"/>
  <c r="T37" i="1" s="1"/>
  <c r="U8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P13" i="1"/>
  <c r="Q13" i="1"/>
  <c r="Q42" i="1" s="1"/>
  <c r="R13" i="1"/>
  <c r="R42" i="1" s="1"/>
  <c r="S13" i="1"/>
  <c r="P14" i="1"/>
  <c r="P43" i="1" s="1"/>
  <c r="P71" i="1" s="1"/>
  <c r="Q14" i="1"/>
  <c r="Q43" i="1" s="1"/>
  <c r="Q71" i="1" s="1"/>
  <c r="R14" i="1"/>
  <c r="R43" i="1" s="1"/>
  <c r="R71" i="1" s="1"/>
  <c r="S14" i="1"/>
  <c r="N8" i="1"/>
  <c r="O8" i="1"/>
  <c r="N9" i="1"/>
  <c r="O9" i="1"/>
  <c r="N10" i="1"/>
  <c r="O10" i="1"/>
  <c r="N11" i="1"/>
  <c r="O11" i="1"/>
  <c r="N12" i="1"/>
  <c r="O12" i="1"/>
  <c r="N13" i="1"/>
  <c r="N42" i="1" s="1"/>
  <c r="O13" i="1"/>
  <c r="O42" i="1" s="1"/>
  <c r="N14" i="1"/>
  <c r="N43" i="1" s="1"/>
  <c r="N71" i="1" s="1"/>
  <c r="O14" i="1"/>
  <c r="O43" i="1" s="1"/>
  <c r="O71" i="1" s="1"/>
  <c r="O7" i="1"/>
  <c r="M6" i="1"/>
  <c r="N6" i="1"/>
  <c r="O6" i="1"/>
  <c r="M7" i="1"/>
  <c r="N7" i="1"/>
  <c r="L6" i="1"/>
  <c r="L7" i="1"/>
  <c r="L8" i="1"/>
  <c r="L9" i="1"/>
  <c r="L10" i="1"/>
  <c r="K6" i="1"/>
  <c r="K7" i="1"/>
  <c r="K10" i="1"/>
  <c r="K37" i="1" s="1"/>
  <c r="J14" i="1"/>
  <c r="J43" i="1" s="1"/>
  <c r="J71" i="1" s="1"/>
  <c r="K14" i="1"/>
  <c r="K43" i="1" s="1"/>
  <c r="K71" i="1" s="1"/>
  <c r="L14" i="1"/>
  <c r="J13" i="1"/>
  <c r="J42" i="1" s="1"/>
  <c r="K13" i="1"/>
  <c r="K42" i="1" s="1"/>
  <c r="L13" i="1"/>
  <c r="J12" i="1"/>
  <c r="K12" i="1"/>
  <c r="L12" i="1"/>
  <c r="J11" i="1"/>
  <c r="K11" i="1"/>
  <c r="K38" i="1" s="1"/>
  <c r="L11" i="1"/>
  <c r="I7" i="1"/>
  <c r="I8" i="1"/>
  <c r="I9" i="1"/>
  <c r="I10" i="1"/>
  <c r="I11" i="1"/>
  <c r="I12" i="1"/>
  <c r="I13" i="1"/>
  <c r="I42" i="1" s="1"/>
  <c r="I14" i="1"/>
  <c r="I43" i="1" s="1"/>
  <c r="I71" i="1" s="1"/>
  <c r="I6" i="1"/>
  <c r="R37" i="1" l="1"/>
  <c r="U37" i="1"/>
  <c r="Q40" i="1"/>
  <c r="R38" i="1"/>
  <c r="U40" i="1"/>
  <c r="Q37" i="1"/>
  <c r="I38" i="1"/>
  <c r="I37" i="1"/>
  <c r="U39" i="1"/>
  <c r="N41" i="1"/>
  <c r="R39" i="1"/>
  <c r="N38" i="1"/>
  <c r="Q39" i="1"/>
  <c r="I34" i="1"/>
  <c r="I36" i="1"/>
  <c r="O53" i="1"/>
  <c r="O40" i="1"/>
  <c r="R34" i="1"/>
  <c r="R36" i="1"/>
  <c r="K40" i="1"/>
  <c r="L56" i="1"/>
  <c r="L43" i="1"/>
  <c r="L71" i="1" s="1"/>
  <c r="L50" i="1"/>
  <c r="L37" i="1"/>
  <c r="O49" i="1"/>
  <c r="O34" i="1"/>
  <c r="O36" i="1"/>
  <c r="N40" i="1"/>
  <c r="R41" i="1"/>
  <c r="S51" i="1"/>
  <c r="S38" i="1"/>
  <c r="Q34" i="1"/>
  <c r="Q36" i="1"/>
  <c r="T48" i="1"/>
  <c r="T35" i="1"/>
  <c r="T33" i="1"/>
  <c r="T61" i="1" s="1"/>
  <c r="P41" i="1"/>
  <c r="K36" i="1"/>
  <c r="K34" i="1"/>
  <c r="K33" i="1"/>
  <c r="K61" i="1" s="1"/>
  <c r="K35" i="1"/>
  <c r="O50" i="1"/>
  <c r="O37" i="1"/>
  <c r="S52" i="1"/>
  <c r="S39" i="1"/>
  <c r="N35" i="1"/>
  <c r="N33" i="1"/>
  <c r="N61" i="1" s="1"/>
  <c r="P40" i="1"/>
  <c r="P42" i="1"/>
  <c r="U34" i="1"/>
  <c r="U62" i="1" s="1"/>
  <c r="U36" i="1"/>
  <c r="J41" i="1"/>
  <c r="J39" i="1"/>
  <c r="M36" i="1"/>
  <c r="M34" i="1"/>
  <c r="O48" i="1"/>
  <c r="O33" i="1"/>
  <c r="O61" i="1" s="1"/>
  <c r="O35" i="1"/>
  <c r="U38" i="1"/>
  <c r="L53" i="1"/>
  <c r="L40" i="1"/>
  <c r="M33" i="1"/>
  <c r="M61" i="1" s="1"/>
  <c r="M35" i="1"/>
  <c r="S54" i="1"/>
  <c r="S41" i="1"/>
  <c r="I41" i="1"/>
  <c r="Q41" i="1"/>
  <c r="S33" i="1"/>
  <c r="S61" i="1" s="1"/>
  <c r="S35" i="1"/>
  <c r="I40" i="1"/>
  <c r="L54" i="1"/>
  <c r="L41" i="1"/>
  <c r="N39" i="1"/>
  <c r="S53" i="1"/>
  <c r="S40" i="1"/>
  <c r="Q38" i="1"/>
  <c r="R35" i="1"/>
  <c r="R33" i="1"/>
  <c r="R61" i="1" s="1"/>
  <c r="L55" i="1"/>
  <c r="L42" i="1"/>
  <c r="O54" i="1"/>
  <c r="O41" i="1"/>
  <c r="I33" i="1"/>
  <c r="I61" i="1" s="1"/>
  <c r="I35" i="1"/>
  <c r="L52" i="1"/>
  <c r="L39" i="1"/>
  <c r="M50" i="1"/>
  <c r="N37" i="1"/>
  <c r="S36" i="1"/>
  <c r="S34" i="1"/>
  <c r="U35" i="1"/>
  <c r="L51" i="1"/>
  <c r="L38" i="1"/>
  <c r="S56" i="1"/>
  <c r="S43" i="1"/>
  <c r="S71" i="1" s="1"/>
  <c r="T34" i="1"/>
  <c r="T36" i="1"/>
  <c r="J40" i="1"/>
  <c r="J38" i="1"/>
  <c r="AB9" i="1" s="1"/>
  <c r="L36" i="1"/>
  <c r="L34" i="1"/>
  <c r="O52" i="1"/>
  <c r="O39" i="1"/>
  <c r="L35" i="1"/>
  <c r="L33" i="1"/>
  <c r="L61" i="1" s="1"/>
  <c r="I39" i="1"/>
  <c r="K41" i="1"/>
  <c r="K39" i="1"/>
  <c r="N36" i="1"/>
  <c r="N34" i="1"/>
  <c r="O51" i="1"/>
  <c r="O38" i="1"/>
  <c r="S55" i="1"/>
  <c r="S42" i="1"/>
  <c r="R40" i="1"/>
  <c r="S37" i="1"/>
  <c r="Q33" i="1"/>
  <c r="Q61" i="1" s="1"/>
  <c r="Q35" i="1"/>
  <c r="U41" i="1"/>
  <c r="O56" i="1"/>
  <c r="O70" i="1" s="1"/>
  <c r="M48" i="1"/>
  <c r="O55" i="1"/>
  <c r="AG10" i="1" s="1"/>
  <c r="R49" i="1"/>
  <c r="S48" i="1"/>
  <c r="R51" i="1"/>
  <c r="Q56" i="1"/>
  <c r="Q70" i="1" s="1"/>
  <c r="N49" i="1"/>
  <c r="R53" i="1"/>
  <c r="J53" i="1"/>
  <c r="J54" i="1"/>
  <c r="M49" i="1"/>
  <c r="R55" i="1"/>
  <c r="R50" i="1"/>
  <c r="K51" i="1"/>
  <c r="K65" i="1" s="1"/>
  <c r="K56" i="1"/>
  <c r="K70" i="1" s="1"/>
  <c r="Q54" i="1"/>
  <c r="K54" i="1"/>
  <c r="L48" i="1"/>
  <c r="S49" i="1"/>
  <c r="I54" i="1"/>
  <c r="H54" i="1"/>
  <c r="H68" i="1" s="1"/>
  <c r="V56" i="1"/>
  <c r="V70" i="1" s="1"/>
  <c r="U56" i="1"/>
  <c r="U70" i="1" s="1"/>
  <c r="T56" i="1"/>
  <c r="T70" i="1" s="1"/>
  <c r="H53" i="1"/>
  <c r="H67" i="1" s="1"/>
  <c r="I53" i="1"/>
  <c r="J56" i="1"/>
  <c r="J70" i="1" s="1"/>
  <c r="N56" i="1"/>
  <c r="N70" i="1" s="1"/>
  <c r="M56" i="1"/>
  <c r="M70" i="1" s="1"/>
  <c r="N52" i="1"/>
  <c r="M52" i="1"/>
  <c r="M66" i="1" s="1"/>
  <c r="P56" i="1"/>
  <c r="Q51" i="1"/>
  <c r="P51" i="1"/>
  <c r="P65" i="1" s="1"/>
  <c r="R48" i="1"/>
  <c r="U55" i="1"/>
  <c r="T55" i="1"/>
  <c r="T69" i="1" s="1"/>
  <c r="V55" i="1"/>
  <c r="V69" i="1" s="1"/>
  <c r="L49" i="1"/>
  <c r="I52" i="1"/>
  <c r="AA10" i="1" s="1"/>
  <c r="H52" i="1"/>
  <c r="K52" i="1"/>
  <c r="AC10" i="1" s="1"/>
  <c r="J52" i="1"/>
  <c r="AB10" i="1" s="1"/>
  <c r="S50" i="1"/>
  <c r="Q48" i="1"/>
  <c r="P48" i="1"/>
  <c r="P62" i="1" s="1"/>
  <c r="T54" i="1"/>
  <c r="T68" i="1" s="1"/>
  <c r="U54" i="1"/>
  <c r="V54" i="1"/>
  <c r="V68" i="1" s="1"/>
  <c r="N48" i="1"/>
  <c r="N54" i="1"/>
  <c r="AF10" i="1" s="1"/>
  <c r="M54" i="1"/>
  <c r="M68" i="1" s="1"/>
  <c r="N50" i="1"/>
  <c r="P55" i="1"/>
  <c r="R52" i="1"/>
  <c r="U49" i="1"/>
  <c r="V49" i="1"/>
  <c r="V63" i="1" s="1"/>
  <c r="U51" i="1"/>
  <c r="U65" i="1" s="1"/>
  <c r="T51" i="1"/>
  <c r="T65" i="1" s="1"/>
  <c r="V51" i="1"/>
  <c r="V65" i="1" s="1"/>
  <c r="P54" i="1"/>
  <c r="I51" i="1"/>
  <c r="H51" i="1"/>
  <c r="H65" i="1" s="1"/>
  <c r="J49" i="1"/>
  <c r="J63" i="1" s="1"/>
  <c r="K49" i="1"/>
  <c r="N55" i="1"/>
  <c r="M55" i="1"/>
  <c r="M69" i="1" s="1"/>
  <c r="V53" i="1"/>
  <c r="V67" i="1" s="1"/>
  <c r="U53" i="1"/>
  <c r="T53" i="1"/>
  <c r="T67" i="1" s="1"/>
  <c r="I50" i="1"/>
  <c r="H50" i="1"/>
  <c r="H64" i="1" s="1"/>
  <c r="K48" i="1"/>
  <c r="J48" i="1"/>
  <c r="J62" i="1" s="1"/>
  <c r="P50" i="1"/>
  <c r="P64" i="1" s="1"/>
  <c r="Q50" i="1"/>
  <c r="U52" i="1"/>
  <c r="T52" i="1"/>
  <c r="T66" i="1" s="1"/>
  <c r="V52" i="1"/>
  <c r="V66" i="1" s="1"/>
  <c r="H48" i="1"/>
  <c r="H62" i="1" s="1"/>
  <c r="I48" i="1"/>
  <c r="K55" i="1"/>
  <c r="Q52" i="1"/>
  <c r="P52" i="1"/>
  <c r="P66" i="1" s="1"/>
  <c r="T49" i="1"/>
  <c r="N51" i="1"/>
  <c r="M51" i="1"/>
  <c r="M65" i="1" s="1"/>
  <c r="P53" i="1"/>
  <c r="P67" i="1" s="1"/>
  <c r="Q53" i="1"/>
  <c r="V50" i="1"/>
  <c r="V64" i="1" s="1"/>
  <c r="U50" i="1"/>
  <c r="U64" i="1" s="1"/>
  <c r="Q55" i="1"/>
  <c r="T50" i="1"/>
  <c r="I49" i="1"/>
  <c r="H49" i="1"/>
  <c r="H63" i="1" s="1"/>
  <c r="I56" i="1"/>
  <c r="I70" i="1" s="1"/>
  <c r="H56" i="1"/>
  <c r="H70" i="1" s="1"/>
  <c r="J55" i="1"/>
  <c r="H55" i="1"/>
  <c r="H69" i="1" s="1"/>
  <c r="I55" i="1"/>
  <c r="K53" i="1"/>
  <c r="M53" i="1"/>
  <c r="M67" i="1" s="1"/>
  <c r="N53" i="1"/>
  <c r="R56" i="1"/>
  <c r="R70" i="1" s="1"/>
  <c r="R54" i="1"/>
  <c r="P49" i="1"/>
  <c r="P63" i="1" s="1"/>
  <c r="Q49" i="1"/>
  <c r="K50" i="1"/>
  <c r="Z25" i="1"/>
  <c r="Z26" i="1" s="1"/>
  <c r="AH20" i="1"/>
  <c r="Z20" i="1"/>
  <c r="AJ8" i="1"/>
  <c r="AK8" i="1"/>
  <c r="AL8" i="1"/>
  <c r="AM8" i="1"/>
  <c r="AN8" i="1"/>
  <c r="AI8" i="1"/>
  <c r="AH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AJ10" i="1"/>
  <c r="AK10" i="1"/>
  <c r="AL10" i="1"/>
  <c r="AM10" i="1"/>
  <c r="AI10" i="1"/>
  <c r="AN10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 s="1"/>
  <c r="G40" i="1" s="1"/>
  <c r="G39" i="1" s="1"/>
  <c r="G38" i="1" s="1"/>
  <c r="G37" i="1" s="1"/>
  <c r="G36" i="1" s="1"/>
  <c r="G35" i="1" s="1"/>
  <c r="G34" i="1" s="1"/>
  <c r="G33" i="1" s="1"/>
  <c r="AG8" i="1"/>
  <c r="R66" i="1" l="1"/>
  <c r="R65" i="1"/>
  <c r="N66" i="1"/>
  <c r="Q68" i="1"/>
  <c r="Q67" i="1"/>
  <c r="Q65" i="1"/>
  <c r="U68" i="1"/>
  <c r="L66" i="1"/>
  <c r="I66" i="1"/>
  <c r="O62" i="1"/>
  <c r="S68" i="1"/>
  <c r="R67" i="1"/>
  <c r="O67" i="1"/>
  <c r="I65" i="1"/>
  <c r="O69" i="1"/>
  <c r="U63" i="1"/>
  <c r="U67" i="1"/>
  <c r="L64" i="1"/>
  <c r="N69" i="1"/>
  <c r="K66" i="1"/>
  <c r="Q63" i="1"/>
  <c r="M63" i="1"/>
  <c r="S65" i="1"/>
  <c r="I62" i="1"/>
  <c r="N62" i="1"/>
  <c r="P70" i="1"/>
  <c r="K63" i="1"/>
  <c r="Q66" i="1"/>
  <c r="M62" i="1"/>
  <c r="S66" i="1"/>
  <c r="Q69" i="1"/>
  <c r="I69" i="1"/>
  <c r="J67" i="1"/>
  <c r="P69" i="1"/>
  <c r="R69" i="1"/>
  <c r="T64" i="1"/>
  <c r="S64" i="1"/>
  <c r="S69" i="1"/>
  <c r="N68" i="1"/>
  <c r="K68" i="1"/>
  <c r="T62" i="1"/>
  <c r="O63" i="1"/>
  <c r="T63" i="1"/>
  <c r="N67" i="1"/>
  <c r="R68" i="1"/>
  <c r="K67" i="1"/>
  <c r="L62" i="1"/>
  <c r="L69" i="1"/>
  <c r="J69" i="1"/>
  <c r="N63" i="1"/>
  <c r="Q64" i="1"/>
  <c r="R64" i="1"/>
  <c r="I64" i="1"/>
  <c r="U69" i="1"/>
  <c r="I63" i="1"/>
  <c r="K62" i="1"/>
  <c r="Q62" i="1"/>
  <c r="L65" i="1"/>
  <c r="R62" i="1"/>
  <c r="O65" i="1"/>
  <c r="U66" i="1"/>
  <c r="P68" i="1"/>
  <c r="N64" i="1"/>
  <c r="S70" i="1"/>
  <c r="K69" i="1"/>
  <c r="Z10" i="1"/>
  <c r="H66" i="1"/>
  <c r="I67" i="1"/>
  <c r="J66" i="1"/>
  <c r="I68" i="1"/>
  <c r="S67" i="1"/>
  <c r="K64" i="1"/>
  <c r="O68" i="1"/>
  <c r="L63" i="1"/>
  <c r="N65" i="1"/>
  <c r="L70" i="1"/>
  <c r="M64" i="1"/>
  <c r="O64" i="1"/>
  <c r="L67" i="1"/>
  <c r="O66" i="1"/>
  <c r="J68" i="1"/>
  <c r="S62" i="1"/>
  <c r="R63" i="1"/>
  <c r="S63" i="1"/>
  <c r="L68" i="1"/>
  <c r="J16" i="1"/>
  <c r="AB7" i="1" s="1"/>
  <c r="AH21" i="1"/>
  <c r="AA21" i="1"/>
  <c r="AI21" i="1"/>
  <c r="AB21" i="1"/>
  <c r="AJ21" i="1"/>
  <c r="AC21" i="1"/>
  <c r="AK21" i="1"/>
  <c r="AD21" i="1"/>
  <c r="AL21" i="1"/>
  <c r="AE21" i="1"/>
  <c r="AM21" i="1"/>
  <c r="AG21" i="1"/>
  <c r="Z21" i="1"/>
  <c r="AF21" i="1"/>
  <c r="AN21" i="1"/>
  <c r="Z9" i="1"/>
  <c r="Z22" i="1"/>
  <c r="Z19" i="1"/>
  <c r="Z23" i="1"/>
  <c r="AG20" i="1"/>
  <c r="AB11" i="1"/>
  <c r="AF20" i="1"/>
  <c r="AM20" i="1"/>
  <c r="AE20" i="1"/>
  <c r="AL20" i="1"/>
  <c r="AD20" i="1"/>
  <c r="AK20" i="1"/>
  <c r="AC20" i="1"/>
  <c r="AJ20" i="1"/>
  <c r="AB20" i="1"/>
  <c r="AI20" i="1"/>
  <c r="AA20" i="1"/>
  <c r="AG9" i="1"/>
  <c r="AG11" i="1" s="1"/>
  <c r="AC9" i="1"/>
  <c r="AC11" i="1" s="1"/>
  <c r="AF9" i="1"/>
  <c r="AF11" i="1" s="1"/>
  <c r="AJ9" i="1"/>
  <c r="AJ11" i="1" s="1"/>
  <c r="AH10" i="1"/>
  <c r="AE10" i="1"/>
  <c r="Z11" i="1" l="1"/>
  <c r="K16" i="1"/>
  <c r="L16" i="1" s="1"/>
  <c r="AF8" i="1"/>
  <c r="AA19" i="1"/>
  <c r="Z24" i="1"/>
  <c r="AC7" i="1"/>
  <c r="AM9" i="1"/>
  <c r="AM11" i="1" s="1"/>
  <c r="AA9" i="1"/>
  <c r="AA11" i="1" s="1"/>
  <c r="AI9" i="1"/>
  <c r="AI11" i="1" s="1"/>
  <c r="AH9" i="1"/>
  <c r="AH11" i="1" s="1"/>
  <c r="AD9" i="1"/>
  <c r="AL9" i="1"/>
  <c r="AL11" i="1" s="1"/>
  <c r="AD10" i="1"/>
  <c r="AA12" i="1" l="1"/>
  <c r="AA13" i="1" s="1"/>
  <c r="AD7" i="1"/>
  <c r="M16" i="1"/>
  <c r="AB19" i="1"/>
  <c r="AB22" i="1"/>
  <c r="AE8" i="1"/>
  <c r="AE9" i="1"/>
  <c r="AE11" i="1" s="1"/>
  <c r="AD11" i="1"/>
  <c r="AK9" i="1"/>
  <c r="AK11" i="1" s="1"/>
  <c r="AB12" i="1" l="1"/>
  <c r="AC12" i="1" s="1"/>
  <c r="AC19" i="1"/>
  <c r="AC22" i="1"/>
  <c r="AA23" i="1"/>
  <c r="AA8" i="1"/>
  <c r="AB8" i="1"/>
  <c r="AC8" i="1"/>
  <c r="AD8" i="1"/>
  <c r="Z8" i="1"/>
  <c r="N16" i="1"/>
  <c r="AE7" i="1"/>
  <c r="AA22" i="1"/>
  <c r="AB13" i="1" l="1"/>
  <c r="AA24" i="1"/>
  <c r="AA25" i="1" s="1"/>
  <c r="AA26" i="1" s="1"/>
  <c r="O16" i="1"/>
  <c r="AF7" i="1"/>
  <c r="AD19" i="1"/>
  <c r="AD22" i="1"/>
  <c r="AB23" i="1"/>
  <c r="AB24" i="1" s="1"/>
  <c r="AC13" i="1"/>
  <c r="AD12" i="1"/>
  <c r="AB25" i="1" l="1"/>
  <c r="AB26" i="1" s="1"/>
  <c r="AE19" i="1"/>
  <c r="AE22" i="1"/>
  <c r="AC23" i="1"/>
  <c r="AC24" i="1" s="1"/>
  <c r="AN9" i="1"/>
  <c r="AN11" i="1" s="1"/>
  <c r="P16" i="1"/>
  <c r="AG7" i="1"/>
  <c r="AD13" i="1"/>
  <c r="AE12" i="1"/>
  <c r="AC25" i="1" l="1"/>
  <c r="AC26" i="1" s="1"/>
  <c r="Q16" i="1"/>
  <c r="AH7" i="1"/>
  <c r="AF19" i="1"/>
  <c r="AF22" i="1"/>
  <c r="AD23" i="1"/>
  <c r="AD24" i="1" s="1"/>
  <c r="AE13" i="1"/>
  <c r="AF12" i="1"/>
  <c r="AD25" i="1" l="1"/>
  <c r="AD26" i="1" s="1"/>
  <c r="AG19" i="1"/>
  <c r="AG22" i="1"/>
  <c r="AE23" i="1"/>
  <c r="AE24" i="1" s="1"/>
  <c r="R16" i="1"/>
  <c r="AI7" i="1"/>
  <c r="AG12" i="1"/>
  <c r="AF13" i="1"/>
  <c r="AE25" i="1" l="1"/>
  <c r="AE26" i="1" s="1"/>
  <c r="S16" i="1"/>
  <c r="AJ7" i="1"/>
  <c r="AH19" i="1"/>
  <c r="AH22" i="1"/>
  <c r="AF23" i="1"/>
  <c r="AF24" i="1" s="1"/>
  <c r="AG13" i="1"/>
  <c r="AH12" i="1"/>
  <c r="AF25" i="1" l="1"/>
  <c r="AF26" i="1" s="1"/>
  <c r="AI19" i="1"/>
  <c r="AI22" i="1"/>
  <c r="AG23" i="1"/>
  <c r="AG24" i="1" s="1"/>
  <c r="T16" i="1"/>
  <c r="AK7" i="1"/>
  <c r="AI12" i="1"/>
  <c r="AH13" i="1"/>
  <c r="AG25" i="1" l="1"/>
  <c r="AG26" i="1" s="1"/>
  <c r="AJ19" i="1"/>
  <c r="AJ22" i="1"/>
  <c r="AH23" i="1"/>
  <c r="AH24" i="1" s="1"/>
  <c r="U16" i="1"/>
  <c r="AL7" i="1"/>
  <c r="AJ12" i="1"/>
  <c r="AI13" i="1"/>
  <c r="AH25" i="1" l="1"/>
  <c r="AH26" i="1" s="1"/>
  <c r="V16" i="1"/>
  <c r="AN7" i="1" s="1"/>
  <c r="AM7" i="1"/>
  <c r="AK19" i="1"/>
  <c r="AK22" i="1"/>
  <c r="AI23" i="1"/>
  <c r="AI24" i="1" s="1"/>
  <c r="AK12" i="1"/>
  <c r="AJ13" i="1"/>
  <c r="AI25" i="1" l="1"/>
  <c r="AI26" i="1" s="1"/>
  <c r="AL19" i="1"/>
  <c r="AL22" i="1"/>
  <c r="AJ23" i="1"/>
  <c r="AJ24" i="1" s="1"/>
  <c r="AL12" i="1"/>
  <c r="AK13" i="1"/>
  <c r="AJ25" i="1" l="1"/>
  <c r="AJ26" i="1" s="1"/>
  <c r="AM23" i="1"/>
  <c r="AM19" i="1"/>
  <c r="AM22" i="1"/>
  <c r="AK23" i="1"/>
  <c r="AK24" i="1" s="1"/>
  <c r="AL13" i="1"/>
  <c r="AM12" i="1"/>
  <c r="AK25" i="1" l="1"/>
  <c r="AK26" i="1" s="1"/>
  <c r="AM24" i="1"/>
  <c r="AN22" i="1"/>
  <c r="AN19" i="1"/>
  <c r="AN23" i="1"/>
  <c r="AL23" i="1"/>
  <c r="AL24" i="1" s="1"/>
  <c r="AN12" i="1"/>
  <c r="AN13" i="1" s="1"/>
  <c r="AM13" i="1"/>
  <c r="AL25" i="1" l="1"/>
  <c r="AL26" i="1" s="1"/>
  <c r="AN24" i="1"/>
  <c r="AM25" i="1" l="1"/>
  <c r="AM26" i="1" s="1"/>
  <c r="AN25" i="1" l="1"/>
  <c r="AN26" i="1" s="1"/>
</calcChain>
</file>

<file path=xl/sharedStrings.xml><?xml version="1.0" encoding="utf-8"?>
<sst xmlns="http://schemas.openxmlformats.org/spreadsheetml/2006/main" count="29" uniqueCount="17">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</sst>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0" xfId="1" applyNumberFormat="1" applyFont="1" applyFill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1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4" fontId="0" fillId="3" borderId="0" xfId="1" applyNumberFormat="1" applyFont="1" applyFill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EDAFD5"/>
      <color rgb="FFBA6EA8"/>
      <color rgb="FFBAA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scatterChart>
        <c:scatterStyle val="smoothMarker"/>
        <c:varyColors val="0"/>
        <c:ser>
          <c:idx val="2"/>
          <c:order val="1"/>
          <c:tx>
            <c:v>верхняя стенка</c:v>
          </c:tx>
          <c:spPr>
            <a:ln w="28575" cap="rnd">
              <a:solidFill>
                <a:srgbClr val="EDAFD5"/>
              </a:solidFill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</c:numCache>
            </c:numRef>
          </c:xVal>
          <c:y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10.50636698704006</c:v>
                </c:pt>
                <c:pt idx="2">
                  <c:v>11.111111111111111</c:v>
                </c:pt>
                <c:pt idx="3">
                  <c:v>11.110855557240818</c:v>
                </c:pt>
                <c:pt idx="4">
                  <c:v>11.11073250799207</c:v>
                </c:pt>
                <c:pt idx="5">
                  <c:v>11.110895063309581</c:v>
                </c:pt>
                <c:pt idx="6">
                  <c:v>11.111030239544537</c:v>
                </c:pt>
                <c:pt idx="7">
                  <c:v>11.111093785990411</c:v>
                </c:pt>
                <c:pt idx="8">
                  <c:v>11.111111111111111</c:v>
                </c:pt>
                <c:pt idx="9">
                  <c:v>11.111111071586784</c:v>
                </c:pt>
                <c:pt idx="10">
                  <c:v>11.111111002537234</c:v>
                </c:pt>
                <c:pt idx="11">
                  <c:v>11.111110984565425</c:v>
                </c:pt>
                <c:pt idx="12">
                  <c:v>11.111111028204451</c:v>
                </c:pt>
                <c:pt idx="13">
                  <c:v>11.111111085831977</c:v>
                </c:pt>
                <c:pt idx="14">
                  <c:v>11.111111111111111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15120"/>
        <c:axId val="301616296"/>
      </c:scatterChart>
      <c:scatterChart>
        <c:scatterStyle val="smoothMarker"/>
        <c:varyColors val="0"/>
        <c:ser>
          <c:idx val="1"/>
          <c:order val="0"/>
          <c:tx>
            <c:v>нижняя стенка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</c:numCache>
            </c:numRef>
          </c:xVal>
          <c:y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1.1671011117472274</c:v>
                </c:pt>
                <c:pt idx="2">
                  <c:v>0.85322630295426483</c:v>
                </c:pt>
                <c:pt idx="3">
                  <c:v>1.4187968550111205</c:v>
                </c:pt>
                <c:pt idx="4">
                  <c:v>1.4973632583318977</c:v>
                </c:pt>
                <c:pt idx="5">
                  <c:v>1.5258724743921388</c:v>
                </c:pt>
                <c:pt idx="6">
                  <c:v>1.5258815196438809</c:v>
                </c:pt>
                <c:pt idx="7">
                  <c:v>1.5258826903289688</c:v>
                </c:pt>
                <c:pt idx="8">
                  <c:v>1.5258828141164849</c:v>
                </c:pt>
                <c:pt idx="9">
                  <c:v>1.5258828340981079</c:v>
                </c:pt>
                <c:pt idx="10">
                  <c:v>1.525882945710004</c:v>
                </c:pt>
                <c:pt idx="11">
                  <c:v>1.5258830655845101</c:v>
                </c:pt>
                <c:pt idx="12">
                  <c:v>1.5258831186661459</c:v>
                </c:pt>
                <c:pt idx="13">
                  <c:v>1.5258831186655961</c:v>
                </c:pt>
                <c:pt idx="14">
                  <c:v>1.5258831186661459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13944"/>
        <c:axId val="301610808"/>
      </c:scatterChart>
      <c:valAx>
        <c:axId val="30161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616296"/>
        <c:crosses val="autoZero"/>
        <c:crossBetween val="midCat"/>
        <c:minorUnit val="1"/>
      </c:valAx>
      <c:valAx>
        <c:axId val="30161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615120"/>
        <c:crosses val="autoZero"/>
        <c:crossBetween val="midCat"/>
      </c:valAx>
      <c:valAx>
        <c:axId val="30161080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01613944"/>
        <c:crosses val="max"/>
        <c:crossBetween val="midCat"/>
      </c:valAx>
      <c:valAx>
        <c:axId val="301613944"/>
        <c:scaling>
          <c:orientation val="minMax"/>
        </c:scaling>
        <c:delete val="0"/>
        <c:axPos val="t"/>
        <c:numFmt formatCode="0.00" sourceLinked="1"/>
        <c:majorTickMark val="out"/>
        <c:minorTickMark val="none"/>
        <c:tickLblPos val="nextTo"/>
        <c:crossAx val="30161080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156913</xdr:colOff>
      <xdr:row>73</xdr:row>
      <xdr:rowOff>147356</xdr:rowOff>
    </xdr:from>
    <xdr:to>
      <xdr:col>16</xdr:col>
      <xdr:colOff>79386</xdr:colOff>
      <xdr:row>99</xdr:row>
      <xdr:rowOff>99300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</cdr:x>
      <cdr:y>0.00455</cdr:y>
    </cdr:from>
    <cdr:to>
      <cdr:x>0.07805</cdr:x>
      <cdr:y>0.10193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0" y="21771"/>
          <a:ext cx="509674" cy="465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latin typeface="Arial Black" pitchFamily="34" charset="0"/>
            </a:rPr>
            <a:t>Cp</a:t>
          </a:r>
          <a:endParaRPr lang="ru-RU" sz="1400" b="1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0.89282</cdr:x>
      <cdr:y>0.50835</cdr:y>
    </cdr:from>
    <cdr:to>
      <cdr:x>1</cdr:x>
      <cdr:y>0.61982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30206" y="2432551"/>
          <a:ext cx="699896" cy="5334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 Black" pitchFamily="34" charset="0"/>
            </a:rPr>
            <a:t>X, </a:t>
          </a:r>
          <a:r>
            <a:rPr lang="ru-RU" sz="1400">
              <a:latin typeface="Arial Black" pitchFamily="34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A4" zoomScale="70" zoomScaleNormal="70" workbookViewId="0">
      <selection activeCell="H19" sqref="H19:V29"/>
    </sheetView>
  </sheetViews>
  <sheetFormatPr defaultRowHeight="15" x14ac:dyDescent="0.25"/>
  <cols>
    <col min="1" max="1" width="9.28515625" customWidth="1"/>
    <col min="7" max="7" width="6" bestFit="1" customWidth="1"/>
    <col min="8" max="22" width="7.7109375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25">
      <c r="A2" s="1" t="s">
        <v>0</v>
      </c>
      <c r="B2" s="4">
        <v>0.1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25">
      <c r="B3" s="3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25">
      <c r="A4" s="1" t="s">
        <v>1</v>
      </c>
      <c r="B4" s="4">
        <v>30</v>
      </c>
      <c r="F4" s="3"/>
      <c r="G4" s="10"/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3"/>
    </row>
    <row r="5" spans="1:40" x14ac:dyDescent="0.25">
      <c r="A5" s="1" t="s">
        <v>2</v>
      </c>
      <c r="B5" s="4">
        <v>101325</v>
      </c>
      <c r="F5" s="18" t="s">
        <v>9</v>
      </c>
      <c r="G5" s="11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4">
        <v>11</v>
      </c>
      <c r="Y5" s="21">
        <v>0</v>
      </c>
      <c r="Z5" s="21">
        <v>1</v>
      </c>
      <c r="AA5" s="21">
        <v>2</v>
      </c>
      <c r="AB5" s="21">
        <v>3</v>
      </c>
      <c r="AC5" s="21">
        <v>4</v>
      </c>
      <c r="AD5" s="21">
        <v>5</v>
      </c>
      <c r="AE5" s="21">
        <v>6</v>
      </c>
      <c r="AF5" s="21">
        <v>7</v>
      </c>
      <c r="AG5" s="21">
        <v>8</v>
      </c>
      <c r="AH5" s="21">
        <v>9</v>
      </c>
      <c r="AI5" s="21">
        <v>10</v>
      </c>
      <c r="AJ5" s="21">
        <v>11</v>
      </c>
      <c r="AK5" s="21">
        <v>12</v>
      </c>
      <c r="AL5" s="21">
        <v>13</v>
      </c>
      <c r="AM5" s="21">
        <v>14</v>
      </c>
      <c r="AN5" s="21">
        <v>15</v>
      </c>
    </row>
    <row r="6" spans="1:40" x14ac:dyDescent="0.25">
      <c r="A6" s="1" t="s">
        <v>3</v>
      </c>
      <c r="B6" s="4">
        <v>15</v>
      </c>
      <c r="F6" s="3"/>
      <c r="G6" s="11">
        <v>2</v>
      </c>
      <c r="H6" s="25">
        <v>10</v>
      </c>
      <c r="I6" s="25">
        <f>0.25*(I19+J20+I21+H20)</f>
        <v>3.666479440548827</v>
      </c>
      <c r="J6" s="13">
        <v>0</v>
      </c>
      <c r="K6" s="25">
        <f t="shared" ref="K6:L6" si="0">0.25*(K19+L20+K21+J20)</f>
        <v>3.6091021191097652E-2</v>
      </c>
      <c r="L6" s="25">
        <f t="shared" si="0"/>
        <v>4.8439616736634161E-2</v>
      </c>
      <c r="M6" s="25">
        <f t="shared" ref="M6:O6" si="1">0.25*(M19+N20+M21+L20)</f>
        <v>4.090518600475479E-2</v>
      </c>
      <c r="N6" s="25">
        <f t="shared" si="1"/>
        <v>2.6968512261705067E-2</v>
      </c>
      <c r="O6" s="25">
        <f t="shared" si="1"/>
        <v>1.2989338407597311E-2</v>
      </c>
      <c r="P6" s="13">
        <v>0</v>
      </c>
      <c r="Q6" s="25">
        <f t="shared" ref="Q6:S6" si="2">0.25*(Q19+R20+Q21+P20)</f>
        <v>6.5293922177577261E-4</v>
      </c>
      <c r="R6" s="25">
        <f t="shared" si="2"/>
        <v>1.0927330690291357E-3</v>
      </c>
      <c r="S6" s="25">
        <f t="shared" si="2"/>
        <v>1.2086438218637699E-3</v>
      </c>
      <c r="T6" s="25">
        <f t="shared" ref="T6" si="3">0.25*(T19+U20+T21+S20)</f>
        <v>9.9665371236243956E-4</v>
      </c>
      <c r="U6" s="25">
        <f>0.25*(U19+V20+U21+T20)</f>
        <v>5.5901060030540248E-4</v>
      </c>
      <c r="V6" s="25">
        <v>0</v>
      </c>
      <c r="W6" s="4">
        <v>10</v>
      </c>
      <c r="Y6" s="22" t="s">
        <v>9</v>
      </c>
      <c r="Z6" s="5">
        <f>H10</f>
        <v>10</v>
      </c>
      <c r="AA6" s="5">
        <f t="shared" ref="AA6:AD6" si="4">I10</f>
        <v>6.2942007517951941</v>
      </c>
      <c r="AB6" s="5">
        <f t="shared" si="4"/>
        <v>3.0291785605373169</v>
      </c>
      <c r="AC6" s="5">
        <f t="shared" si="4"/>
        <v>1.6918757475283601</v>
      </c>
      <c r="AD6" s="5">
        <f t="shared" si="4"/>
        <v>0.80219283246443007</v>
      </c>
      <c r="AE6" s="5">
        <f>M11</f>
        <v>0</v>
      </c>
      <c r="AF6" s="5">
        <f>N12</f>
        <v>4.4772592357405537E-3</v>
      </c>
      <c r="AG6" s="5">
        <f>O13</f>
        <v>3.3102319065833356E-3</v>
      </c>
      <c r="AH6" s="5">
        <f>P14</f>
        <v>1.7313332028663759E-3</v>
      </c>
      <c r="AI6" s="5">
        <f>Q15</f>
        <v>0</v>
      </c>
      <c r="AJ6" s="5">
        <f t="shared" ref="AJ6:AN6" si="5">R15</f>
        <v>0</v>
      </c>
      <c r="AK6" s="5">
        <f t="shared" si="5"/>
        <v>0</v>
      </c>
      <c r="AL6" s="5">
        <f t="shared" si="5"/>
        <v>0</v>
      </c>
      <c r="AM6" s="5">
        <f t="shared" si="5"/>
        <v>0</v>
      </c>
      <c r="AN6" s="5">
        <f t="shared" si="5"/>
        <v>0</v>
      </c>
    </row>
    <row r="7" spans="1:40" x14ac:dyDescent="0.25">
      <c r="B7" s="3"/>
      <c r="F7" s="3"/>
      <c r="G7" s="11">
        <v>3</v>
      </c>
      <c r="H7" s="25">
        <v>10</v>
      </c>
      <c r="I7" s="25">
        <f t="shared" ref="I7:L14" si="6">0.25*(I20+J21+I22+H21)</f>
        <v>4.6659177517995234</v>
      </c>
      <c r="J7" s="13">
        <v>0</v>
      </c>
      <c r="K7" s="25">
        <f t="shared" ref="K7:L7" si="7">0.25*(K20+L21+K22+J21)</f>
        <v>9.5916314206564657E-2</v>
      </c>
      <c r="L7" s="25">
        <f t="shared" si="7"/>
        <v>0.11674635876581602</v>
      </c>
      <c r="M7" s="25">
        <f t="shared" ref="M7:N8" si="8">0.25*(M20+N21+M22+L21)</f>
        <v>8.8191387643910074E-2</v>
      </c>
      <c r="N7" s="25">
        <f t="shared" si="8"/>
        <v>5.3957171879216767E-2</v>
      </c>
      <c r="O7" s="25">
        <f>0.25*(O20+P21+O22+N21)</f>
        <v>2.4974073458862243E-2</v>
      </c>
      <c r="P7" s="13">
        <v>0</v>
      </c>
      <c r="Q7" s="25">
        <f t="shared" ref="Q7:S7" si="9">0.25*(Q20+R21+Q22+P21)</f>
        <v>1.1928433884282751E-3</v>
      </c>
      <c r="R7" s="25">
        <f t="shared" si="9"/>
        <v>1.9770331208134239E-3</v>
      </c>
      <c r="S7" s="25">
        <f t="shared" si="9"/>
        <v>2.1343956774496592E-3</v>
      </c>
      <c r="T7" s="25">
        <f t="shared" ref="T7:U7" si="10">0.25*(T20+U21+T22+S21)</f>
        <v>1.7276110195467982E-3</v>
      </c>
      <c r="U7" s="25">
        <f t="shared" si="10"/>
        <v>9.5396455763026495E-4</v>
      </c>
      <c r="V7" s="25">
        <v>0</v>
      </c>
      <c r="W7" s="4">
        <v>9</v>
      </c>
      <c r="Y7" s="5" t="s">
        <v>12</v>
      </c>
      <c r="Z7" s="5">
        <f>H16</f>
        <v>0</v>
      </c>
      <c r="AA7" s="5">
        <f t="shared" ref="AA7:AN7" si="11">I16</f>
        <v>0.1</v>
      </c>
      <c r="AB7" s="5">
        <f t="shared" si="11"/>
        <v>0.2</v>
      </c>
      <c r="AC7" s="5">
        <f t="shared" si="11"/>
        <v>0.30000000000000004</v>
      </c>
      <c r="AD7" s="5">
        <f t="shared" si="11"/>
        <v>0.4</v>
      </c>
      <c r="AE7" s="5">
        <f t="shared" si="11"/>
        <v>0.5</v>
      </c>
      <c r="AF7" s="5">
        <f t="shared" si="11"/>
        <v>0.6</v>
      </c>
      <c r="AG7" s="5">
        <f t="shared" si="11"/>
        <v>0.7</v>
      </c>
      <c r="AH7" s="5">
        <f t="shared" si="11"/>
        <v>0.79999999999999993</v>
      </c>
      <c r="AI7" s="5">
        <f t="shared" si="11"/>
        <v>0.89999999999999991</v>
      </c>
      <c r="AJ7" s="5">
        <f t="shared" si="11"/>
        <v>0.99999999999999989</v>
      </c>
      <c r="AK7" s="5">
        <f t="shared" si="11"/>
        <v>1.0999999999999999</v>
      </c>
      <c r="AL7" s="5">
        <f t="shared" si="11"/>
        <v>1.2</v>
      </c>
      <c r="AM7" s="5">
        <f t="shared" si="11"/>
        <v>1.3</v>
      </c>
      <c r="AN7" s="5">
        <f t="shared" si="11"/>
        <v>1.4000000000000001</v>
      </c>
    </row>
    <row r="8" spans="1:40" x14ac:dyDescent="0.25">
      <c r="A8" s="1" t="s">
        <v>4</v>
      </c>
      <c r="B8" s="4">
        <v>50</v>
      </c>
      <c r="C8">
        <v>50</v>
      </c>
      <c r="F8" s="3"/>
      <c r="G8" s="11">
        <v>4</v>
      </c>
      <c r="H8" s="25">
        <v>10</v>
      </c>
      <c r="I8" s="25">
        <f t="shared" si="6"/>
        <v>4.9971915248251699</v>
      </c>
      <c r="J8" s="13">
        <v>0</v>
      </c>
      <c r="K8" s="25">
        <f>0.25*(K21+L22+K23+J22)</f>
        <v>0.23081278226330165</v>
      </c>
      <c r="L8" s="25">
        <f t="shared" ref="L8" si="12">0.25*(L21+M22+L23+K22)</f>
        <v>0.23440903506218772</v>
      </c>
      <c r="M8" s="25">
        <f t="shared" si="8"/>
        <v>0.14111535171759568</v>
      </c>
      <c r="N8" s="25">
        <f t="shared" ref="N8:O8" si="13">0.25*(N21+O22+N23+M22)</f>
        <v>7.5648733230729681E-2</v>
      </c>
      <c r="O8" s="25">
        <f t="shared" si="13"/>
        <v>3.2917296752364752E-2</v>
      </c>
      <c r="P8" s="13">
        <v>0</v>
      </c>
      <c r="Q8" s="25">
        <f t="shared" ref="Q8:S8" si="14">0.25*(Q21+R22+Q23+P22)</f>
        <v>1.5721756116730396E-3</v>
      </c>
      <c r="R8" s="25">
        <f t="shared" si="14"/>
        <v>2.5084045504075933E-3</v>
      </c>
      <c r="S8" s="25">
        <f t="shared" si="14"/>
        <v>2.588031660590628E-3</v>
      </c>
      <c r="T8" s="25">
        <f t="shared" ref="T8:U8" si="15">0.25*(T21+U22+T23+S22)</f>
        <v>1.952952456508064E-3</v>
      </c>
      <c r="U8" s="25">
        <f t="shared" si="15"/>
        <v>1.0593167776444842E-3</v>
      </c>
      <c r="V8" s="25">
        <v>0</v>
      </c>
      <c r="W8" s="4">
        <v>8</v>
      </c>
      <c r="Y8" s="5" t="s">
        <v>13</v>
      </c>
      <c r="Z8" s="5">
        <f>$G10</f>
        <v>6</v>
      </c>
      <c r="AA8" s="5">
        <f t="shared" ref="AA8:AD8" si="16">$G10</f>
        <v>6</v>
      </c>
      <c r="AB8" s="5">
        <f t="shared" si="16"/>
        <v>6</v>
      </c>
      <c r="AC8" s="5">
        <f t="shared" si="16"/>
        <v>6</v>
      </c>
      <c r="AD8" s="5">
        <f t="shared" si="16"/>
        <v>6</v>
      </c>
      <c r="AE8" s="5">
        <f>G11</f>
        <v>5</v>
      </c>
      <c r="AF8" s="5">
        <f>G12</f>
        <v>4</v>
      </c>
      <c r="AG8" s="5">
        <f>G13</f>
        <v>3</v>
      </c>
      <c r="AH8" s="5">
        <f>G14</f>
        <v>2</v>
      </c>
      <c r="AI8" s="5">
        <f>$G15</f>
        <v>0</v>
      </c>
      <c r="AJ8" s="5">
        <f t="shared" ref="AJ8:AN8" si="17">$G15</f>
        <v>0</v>
      </c>
      <c r="AK8" s="5">
        <f t="shared" si="17"/>
        <v>0</v>
      </c>
      <c r="AL8" s="5">
        <f t="shared" si="17"/>
        <v>0</v>
      </c>
      <c r="AM8" s="5">
        <f t="shared" si="17"/>
        <v>0</v>
      </c>
      <c r="AN8" s="5">
        <f t="shared" si="17"/>
        <v>0</v>
      </c>
    </row>
    <row r="9" spans="1:40" x14ac:dyDescent="0.25">
      <c r="B9" s="3"/>
      <c r="F9" s="3"/>
      <c r="G9" s="11">
        <v>5</v>
      </c>
      <c r="H9" s="25">
        <v>10</v>
      </c>
      <c r="I9" s="25">
        <f t="shared" si="6"/>
        <v>5.3228482025338586</v>
      </c>
      <c r="J9" s="13">
        <v>0</v>
      </c>
      <c r="K9" s="25">
        <f>0.25*(K22+L23+K24+J23)</f>
        <v>0.59290749910305518</v>
      </c>
      <c r="L9" s="25">
        <f t="shared" ref="L9:M9" si="18">0.25*(L22+M23+L24+K23)</f>
        <v>0.44892460955926428</v>
      </c>
      <c r="M9" s="25">
        <f t="shared" si="18"/>
        <v>0.16615638127408652</v>
      </c>
      <c r="N9" s="25">
        <f t="shared" ref="N9:O9" si="19">0.25*(N22+O23+N24+M23)</f>
        <v>7.4531164145635181E-2</v>
      </c>
      <c r="O9" s="25">
        <f t="shared" si="19"/>
        <v>3.0988271534353511E-2</v>
      </c>
      <c r="P9" s="13">
        <v>0</v>
      </c>
      <c r="Q9" s="25">
        <f t="shared" ref="Q9:T9" si="20">0.25*(Q22+R23+Q24+P23)</f>
        <v>1.8429116208314958E-3</v>
      </c>
      <c r="R9" s="25">
        <f t="shared" si="20"/>
        <v>2.7224155589886129E-3</v>
      </c>
      <c r="S9" s="25">
        <f t="shared" si="20"/>
        <v>2.4878004850791046E-3</v>
      </c>
      <c r="T9" s="25">
        <f t="shared" si="20"/>
        <v>1.4916512146530342E-3</v>
      </c>
      <c r="U9" s="25">
        <f t="shared" ref="U9" si="21">0.25*(U22+V23+U24+T23)</f>
        <v>7.9665861226845642E-4</v>
      </c>
      <c r="V9" s="25">
        <v>0</v>
      </c>
      <c r="W9" s="4">
        <v>7</v>
      </c>
      <c r="Y9" s="5" t="s">
        <v>10</v>
      </c>
      <c r="Z9" s="5">
        <f>H38</f>
        <v>0</v>
      </c>
      <c r="AA9" s="5">
        <f>I38</f>
        <v>-7.5096310489841001</v>
      </c>
      <c r="AB9" s="5">
        <f t="shared" ref="AB9:AD9" si="22">J38</f>
        <v>-20.653165684042552</v>
      </c>
      <c r="AC9" s="5">
        <f t="shared" si="22"/>
        <v>-8.7515281554480637</v>
      </c>
      <c r="AD9" s="5">
        <f t="shared" si="22"/>
        <v>-3.0951640973288228</v>
      </c>
      <c r="AE9" s="5">
        <f>M39</f>
        <v>0</v>
      </c>
      <c r="AF9" s="5">
        <f>N40</f>
        <v>3.7576063991822589E-2</v>
      </c>
      <c r="AG9" s="5">
        <f>O41</f>
        <v>1.9634240013315887E-2</v>
      </c>
      <c r="AH9" s="5">
        <f>P42</f>
        <v>1.6542846057152855E-2</v>
      </c>
      <c r="AI9" s="5">
        <f t="shared" ref="AI9:AM9" si="23">Q43</f>
        <v>1.6003475280065554E-2</v>
      </c>
      <c r="AJ9" s="5">
        <f t="shared" si="23"/>
        <v>1.2476399138580643E-2</v>
      </c>
      <c r="AK9" s="5">
        <f t="shared" si="23"/>
        <v>6.9118354694879041E-3</v>
      </c>
      <c r="AL9" s="5">
        <f t="shared" si="23"/>
        <v>0</v>
      </c>
      <c r="AM9" s="5">
        <f t="shared" si="23"/>
        <v>2.1925889433432315E-5</v>
      </c>
      <c r="AN9" s="5">
        <f>V43</f>
        <v>0</v>
      </c>
    </row>
    <row r="10" spans="1:40" x14ac:dyDescent="0.25">
      <c r="A10" s="1" t="s">
        <v>5</v>
      </c>
      <c r="B10" s="4">
        <v>15</v>
      </c>
      <c r="F10" s="3"/>
      <c r="G10" s="11">
        <v>6</v>
      </c>
      <c r="H10" s="25">
        <v>10</v>
      </c>
      <c r="I10" s="25">
        <f t="shared" si="6"/>
        <v>6.2942007517951941</v>
      </c>
      <c r="J10" s="25">
        <f t="shared" si="6"/>
        <v>3.0291785605373169</v>
      </c>
      <c r="K10" s="25">
        <f t="shared" ref="K10:L10" si="24">0.25*(K23+L24+K25+J24)</f>
        <v>1.6918757475283601</v>
      </c>
      <c r="L10" s="25">
        <f t="shared" si="24"/>
        <v>0.80219283246443007</v>
      </c>
      <c r="M10" s="13">
        <v>0</v>
      </c>
      <c r="N10" s="25">
        <f t="shared" ref="N10:O10" si="25">0.25*(N23+O24+N25+M24)</f>
        <v>2.5220959568007201E-2</v>
      </c>
      <c r="O10" s="25">
        <f t="shared" si="25"/>
        <v>1.639959843518312E-2</v>
      </c>
      <c r="P10" s="13">
        <v>0</v>
      </c>
      <c r="Q10" s="25">
        <f t="shared" ref="Q10:S10" si="26">0.25*(Q23+R24+Q25+P24)</f>
        <v>2.293296518994235E-3</v>
      </c>
      <c r="R10" s="25">
        <f t="shared" si="26"/>
        <v>2.812902629642938E-3</v>
      </c>
      <c r="S10" s="25">
        <f t="shared" si="26"/>
        <v>2.0111265265399651E-3</v>
      </c>
      <c r="T10" s="13">
        <v>0</v>
      </c>
      <c r="U10" s="25">
        <f t="shared" ref="U10" si="27">0.25*(U23+V24+U25+T24)</f>
        <v>2.5012499940120964E-4</v>
      </c>
      <c r="V10" s="25">
        <v>0</v>
      </c>
      <c r="W10" s="4">
        <v>6</v>
      </c>
      <c r="Y10" s="5" t="s">
        <v>11</v>
      </c>
      <c r="Z10" s="5">
        <f>H52</f>
        <v>37.057992482048057</v>
      </c>
      <c r="AA10" s="5">
        <f t="shared" ref="AA10:AD10" si="28">I52</f>
        <v>16.325110956289386</v>
      </c>
      <c r="AB10" s="5">
        <f t="shared" si="28"/>
        <v>13.373028130089567</v>
      </c>
      <c r="AC10" s="5">
        <f t="shared" si="28"/>
        <v>4.4484145753196502</v>
      </c>
      <c r="AD10" s="5">
        <f t="shared" si="28"/>
        <v>4.0109641623221499</v>
      </c>
      <c r="AE10" s="5">
        <f>M53</f>
        <v>-9.7876690858536786E-2</v>
      </c>
      <c r="AF10" s="5">
        <f>N54</f>
        <v>-5.211473562203757E-3</v>
      </c>
      <c r="AG10" s="5">
        <f>O55</f>
        <v>8.3134757638213784E-6</v>
      </c>
      <c r="AH10" s="5">
        <f>P56</f>
        <v>6.549283742991025E-4</v>
      </c>
      <c r="AI10" s="5">
        <f>Q57</f>
        <v>0</v>
      </c>
      <c r="AJ10" s="5">
        <f t="shared" ref="AJ10:AN10" si="29">R57</f>
        <v>0</v>
      </c>
      <c r="AK10" s="5">
        <f t="shared" si="29"/>
        <v>0</v>
      </c>
      <c r="AL10" s="5">
        <f t="shared" si="29"/>
        <v>0</v>
      </c>
      <c r="AM10" s="5">
        <f t="shared" si="29"/>
        <v>0</v>
      </c>
      <c r="AN10" s="5">
        <f t="shared" si="29"/>
        <v>0</v>
      </c>
    </row>
    <row r="11" spans="1:40" x14ac:dyDescent="0.25">
      <c r="A11" s="1" t="s">
        <v>6</v>
      </c>
      <c r="B11" s="4">
        <v>11</v>
      </c>
      <c r="F11" s="3"/>
      <c r="G11" s="11">
        <v>5</v>
      </c>
      <c r="H11" s="25">
        <v>10</v>
      </c>
      <c r="I11" s="25">
        <f t="shared" si="6"/>
        <v>6.8247744123306786</v>
      </c>
      <c r="J11" s="25">
        <f t="shared" si="6"/>
        <v>4.1306331368085107</v>
      </c>
      <c r="K11" s="25">
        <f t="shared" si="6"/>
        <v>2.3432131301926682</v>
      </c>
      <c r="L11" s="25">
        <f t="shared" si="6"/>
        <v>1.0679574290250289</v>
      </c>
      <c r="M11" s="13">
        <v>0</v>
      </c>
      <c r="N11" s="25">
        <f t="shared" ref="N11:P11" si="30">0.25*(N24+O25+N26+M25)</f>
        <v>9.7876690858536789E-3</v>
      </c>
      <c r="O11" s="25">
        <f t="shared" si="30"/>
        <v>9.1750379368558763E-3</v>
      </c>
      <c r="P11" s="25">
        <f t="shared" si="30"/>
        <v>4.5013789134912083E-3</v>
      </c>
      <c r="Q11" s="25">
        <f t="shared" ref="Q11:S11" si="31">0.25*(Q24+R25+Q26+P25)</f>
        <v>3.6715554287362101E-3</v>
      </c>
      <c r="R11" s="25">
        <f t="shared" si="31"/>
        <v>3.1038333964398179E-3</v>
      </c>
      <c r="S11" s="25">
        <f t="shared" si="31"/>
        <v>1.8765019956348849E-3</v>
      </c>
      <c r="T11" s="13">
        <v>0</v>
      </c>
      <c r="U11" s="25">
        <f t="shared" ref="U11" si="32">0.25*(U24+V25+U26+T25)</f>
        <v>7.8269819167714163E-5</v>
      </c>
      <c r="V11" s="25">
        <v>0</v>
      </c>
      <c r="W11" s="4">
        <v>5</v>
      </c>
      <c r="Y11" s="5" t="s">
        <v>14</v>
      </c>
      <c r="Z11" s="5">
        <f>((Z9)^2+(Z10)^2)^0.5</f>
        <v>37.057992482048057</v>
      </c>
      <c r="AA11" s="5">
        <f t="shared" ref="AA11:AN11" si="33">((AA9)^2+(AA10)^2)^0.5</f>
        <v>17.969524373979013</v>
      </c>
      <c r="AB11" s="5">
        <f t="shared" si="33"/>
        <v>24.60469739990069</v>
      </c>
      <c r="AC11" s="5">
        <f t="shared" si="33"/>
        <v>9.8172112786430592</v>
      </c>
      <c r="AD11" s="5">
        <f t="shared" si="33"/>
        <v>5.0663472345296245</v>
      </c>
      <c r="AE11" s="5">
        <f t="shared" si="33"/>
        <v>9.7876690858536786E-2</v>
      </c>
      <c r="AF11" s="5">
        <f t="shared" si="33"/>
        <v>3.7935735682955919E-2</v>
      </c>
      <c r="AG11" s="5">
        <f t="shared" si="33"/>
        <v>1.9634241773350301E-2</v>
      </c>
      <c r="AH11" s="5">
        <f t="shared" si="33"/>
        <v>1.6555805230979246E-2</v>
      </c>
      <c r="AI11" s="5">
        <f t="shared" si="33"/>
        <v>1.6003475280065554E-2</v>
      </c>
      <c r="AJ11" s="5">
        <f t="shared" si="33"/>
        <v>1.2476399138580643E-2</v>
      </c>
      <c r="AK11" s="5">
        <f t="shared" si="33"/>
        <v>6.9118354694879041E-3</v>
      </c>
      <c r="AL11" s="5">
        <f t="shared" si="33"/>
        <v>0</v>
      </c>
      <c r="AM11" s="5">
        <f t="shared" si="33"/>
        <v>2.1925889433432315E-5</v>
      </c>
      <c r="AN11" s="5">
        <f t="shared" si="33"/>
        <v>0</v>
      </c>
    </row>
    <row r="12" spans="1:40" x14ac:dyDescent="0.25">
      <c r="A12" s="1" t="s">
        <v>7</v>
      </c>
      <c r="B12" s="4">
        <v>15</v>
      </c>
      <c r="F12" s="19"/>
      <c r="G12" s="11">
        <v>4</v>
      </c>
      <c r="H12" s="25">
        <v>10</v>
      </c>
      <c r="I12" s="25">
        <f t="shared" si="6"/>
        <v>6.8742617245009843</v>
      </c>
      <c r="J12" s="25">
        <f t="shared" si="6"/>
        <v>4.3253622391460764</v>
      </c>
      <c r="K12" s="25">
        <f t="shared" si="6"/>
        <v>2.4823794076912615</v>
      </c>
      <c r="L12" s="25">
        <f t="shared" si="6"/>
        <v>1.1264176408397732</v>
      </c>
      <c r="M12" s="13">
        <v>0</v>
      </c>
      <c r="N12" s="25">
        <f t="shared" ref="N12:O12" si="34">0.25*(N25+O26+N27+M26)</f>
        <v>4.4772592357405537E-3</v>
      </c>
      <c r="O12" s="25">
        <f t="shared" si="34"/>
        <v>5.5195539481813051E-3</v>
      </c>
      <c r="P12" s="25">
        <f t="shared" ref="P12:S13" si="35">0.25*(P25+Q26+P27+O26)</f>
        <v>4.4895810831736965E-3</v>
      </c>
      <c r="Q12" s="25">
        <f t="shared" ref="Q12:S12" si="36">0.25*(Q25+R26+Q27+P26)</f>
        <v>3.7782451411947659E-3</v>
      </c>
      <c r="R12" s="25">
        <f t="shared" si="36"/>
        <v>2.956014508870473E-3</v>
      </c>
      <c r="S12" s="25">
        <f t="shared" si="36"/>
        <v>1.6794144970464374E-3</v>
      </c>
      <c r="T12" s="13">
        <v>0</v>
      </c>
      <c r="U12" s="25">
        <f t="shared" ref="U12" si="37">0.25*(U25+V26+U27+T26)</f>
        <v>2.4604135244495924E-5</v>
      </c>
      <c r="V12" s="25">
        <v>0</v>
      </c>
      <c r="W12" s="4">
        <v>4</v>
      </c>
      <c r="Y12" s="5" t="s">
        <v>15</v>
      </c>
      <c r="Z12" s="8">
        <f>B5</f>
        <v>101325</v>
      </c>
      <c r="AA12" s="8">
        <f>(Z12+(Z11^2)/2)-(AA11^2)/2</f>
        <v>101850.19550028625</v>
      </c>
      <c r="AB12" s="8">
        <f t="shared" ref="AB12:AN12" si="38">(AA12+(AA11^2)/2)-(AB11^2)/2</f>
        <v>101708.95183632942</v>
      </c>
      <c r="AC12" s="8">
        <f t="shared" si="38"/>
        <v>101963.458584755</v>
      </c>
      <c r="AD12" s="8">
        <f t="shared" si="38"/>
        <v>101998.81346624935</v>
      </c>
      <c r="AE12" s="8">
        <f t="shared" si="38"/>
        <v>102011.64261347646</v>
      </c>
      <c r="AF12" s="8">
        <f t="shared" si="38"/>
        <v>102011.64668383975</v>
      </c>
      <c r="AG12" s="8">
        <f t="shared" si="38"/>
        <v>102011.64721064804</v>
      </c>
      <c r="AH12" s="8">
        <f t="shared" si="38"/>
        <v>102011.64726635242</v>
      </c>
      <c r="AI12" s="8">
        <f t="shared" si="38"/>
        <v>102011.64727534415</v>
      </c>
      <c r="AJ12" s="8">
        <f t="shared" si="38"/>
        <v>102011.6473255695</v>
      </c>
      <c r="AK12" s="8">
        <f t="shared" si="38"/>
        <v>102011.64737951303</v>
      </c>
      <c r="AL12" s="8">
        <f t="shared" si="38"/>
        <v>102011.64740339977</v>
      </c>
      <c r="AM12" s="8">
        <f t="shared" si="38"/>
        <v>102011.64740339952</v>
      </c>
      <c r="AN12" s="8">
        <f t="shared" si="38"/>
        <v>102011.64740339977</v>
      </c>
    </row>
    <row r="13" spans="1:40" x14ac:dyDescent="0.25">
      <c r="A13" s="1" t="s">
        <v>8</v>
      </c>
      <c r="B13" s="4">
        <v>6</v>
      </c>
      <c r="F13" s="3"/>
      <c r="G13" s="11">
        <v>3</v>
      </c>
      <c r="H13" s="25">
        <v>10</v>
      </c>
      <c r="I13" s="25">
        <f t="shared" si="6"/>
        <v>6.3469087333199381</v>
      </c>
      <c r="J13" s="25">
        <f t="shared" si="6"/>
        <v>3.8141716501941105</v>
      </c>
      <c r="K13" s="25">
        <f t="shared" si="6"/>
        <v>2.1345207975134524</v>
      </c>
      <c r="L13" s="25">
        <f t="shared" si="6"/>
        <v>0.95533064228184517</v>
      </c>
      <c r="M13" s="13">
        <v>0</v>
      </c>
      <c r="N13" s="25">
        <f t="shared" ref="N13:O13" si="39">0.25*(N26+O27+N28+M27)</f>
        <v>2.2724562874891609E-3</v>
      </c>
      <c r="O13" s="25">
        <f t="shared" si="39"/>
        <v>3.3102319065833356E-3</v>
      </c>
      <c r="P13" s="25">
        <f t="shared" si="35"/>
        <v>3.3085692114305713E-3</v>
      </c>
      <c r="Q13" s="25">
        <f t="shared" si="35"/>
        <v>2.9534582031658838E-3</v>
      </c>
      <c r="R13" s="25">
        <f t="shared" si="35"/>
        <v>2.2964982070775887E-3</v>
      </c>
      <c r="S13" s="25">
        <f t="shared" si="35"/>
        <v>1.2770904459436265E-3</v>
      </c>
      <c r="T13" s="13">
        <v>0</v>
      </c>
      <c r="U13" s="25">
        <f t="shared" ref="U13" si="40">0.25*(U26+V27+U28+T27)</f>
        <v>7.6456073336219385E-6</v>
      </c>
      <c r="V13" s="25">
        <v>0</v>
      </c>
      <c r="W13" s="4">
        <v>3</v>
      </c>
      <c r="Y13" s="5" t="s">
        <v>16</v>
      </c>
      <c r="Z13" s="5">
        <f>(Z12-$B$5)/(($B$4^2)/2)</f>
        <v>0</v>
      </c>
      <c r="AA13" s="5">
        <f t="shared" ref="AA13:AN13" si="41">(AA12-$B$5)/(($B$4^2)/2)</f>
        <v>1.1671011117472274</v>
      </c>
      <c r="AB13" s="5">
        <f t="shared" si="41"/>
        <v>0.85322630295426483</v>
      </c>
      <c r="AC13" s="5">
        <f t="shared" si="41"/>
        <v>1.4187968550111205</v>
      </c>
      <c r="AD13" s="5">
        <f t="shared" si="41"/>
        <v>1.4973632583318977</v>
      </c>
      <c r="AE13" s="5">
        <f t="shared" si="41"/>
        <v>1.5258724743921388</v>
      </c>
      <c r="AF13" s="5">
        <f t="shared" si="41"/>
        <v>1.5258815196438809</v>
      </c>
      <c r="AG13" s="5">
        <f t="shared" si="41"/>
        <v>1.5258826903289688</v>
      </c>
      <c r="AH13" s="5">
        <f t="shared" si="41"/>
        <v>1.5258828141164849</v>
      </c>
      <c r="AI13" s="5">
        <f t="shared" si="41"/>
        <v>1.5258828340981079</v>
      </c>
      <c r="AJ13" s="5">
        <f t="shared" si="41"/>
        <v>1.525882945710004</v>
      </c>
      <c r="AK13" s="5">
        <f t="shared" si="41"/>
        <v>1.5258830655845101</v>
      </c>
      <c r="AL13" s="5">
        <f t="shared" si="41"/>
        <v>1.5258831186661459</v>
      </c>
      <c r="AM13" s="5">
        <f t="shared" si="41"/>
        <v>1.5258831186655961</v>
      </c>
      <c r="AN13" s="5">
        <f t="shared" si="41"/>
        <v>1.5258831186661459</v>
      </c>
    </row>
    <row r="14" spans="1:40" x14ac:dyDescent="0.25">
      <c r="A14" s="2" t="s">
        <v>9</v>
      </c>
      <c r="B14" s="4">
        <v>0</v>
      </c>
      <c r="F14" s="3"/>
      <c r="G14" s="11">
        <v>2</v>
      </c>
      <c r="H14" s="25">
        <v>10</v>
      </c>
      <c r="I14" s="25">
        <f t="shared" si="6"/>
        <v>4.6992005689198892</v>
      </c>
      <c r="J14" s="25">
        <f t="shared" si="6"/>
        <v>2.4498931000379294</v>
      </c>
      <c r="K14" s="25">
        <f t="shared" si="6"/>
        <v>1.2861993605400883</v>
      </c>
      <c r="L14" s="25">
        <f t="shared" si="6"/>
        <v>0.56038265912863827</v>
      </c>
      <c r="M14" s="13">
        <v>0</v>
      </c>
      <c r="N14" s="25">
        <f t="shared" ref="N14:O14" si="42">0.25*(N27+O28+N29+M28)</f>
        <v>1.0085360801344672E-3</v>
      </c>
      <c r="O14" s="25">
        <f t="shared" si="42"/>
        <v>1.5927059455181274E-3</v>
      </c>
      <c r="P14" s="25">
        <f t="shared" ref="P14:S14" si="43">0.25*(P27+Q28+P29+O28)</f>
        <v>1.7313332028663759E-3</v>
      </c>
      <c r="Q14" s="25">
        <f t="shared" si="43"/>
        <v>1.6003475280065554E-3</v>
      </c>
      <c r="R14" s="25">
        <f t="shared" si="43"/>
        <v>1.2476399138580643E-3</v>
      </c>
      <c r="S14" s="25">
        <f t="shared" si="43"/>
        <v>6.9118354694879046E-4</v>
      </c>
      <c r="T14" s="13">
        <v>0</v>
      </c>
      <c r="U14" s="25">
        <f t="shared" ref="U14" si="44">0.25*(U27+V28+U29+T28)</f>
        <v>2.1925889433432315E-6</v>
      </c>
      <c r="V14" s="25">
        <v>0</v>
      </c>
      <c r="W14" s="4">
        <v>2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x14ac:dyDescent="0.25">
      <c r="F15" s="3"/>
      <c r="G15" s="11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4">
        <v>1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x14ac:dyDescent="0.25">
      <c r="F16" s="3"/>
      <c r="G16" s="10"/>
      <c r="H16" s="11">
        <v>0</v>
      </c>
      <c r="I16" s="11">
        <f>H16+$B$2</f>
        <v>0.1</v>
      </c>
      <c r="J16" s="11">
        <f t="shared" ref="J16:V16" si="45">I16+$B$2</f>
        <v>0.2</v>
      </c>
      <c r="K16" s="11">
        <f t="shared" si="45"/>
        <v>0.30000000000000004</v>
      </c>
      <c r="L16" s="11">
        <f t="shared" si="45"/>
        <v>0.4</v>
      </c>
      <c r="M16" s="11">
        <f t="shared" si="45"/>
        <v>0.5</v>
      </c>
      <c r="N16" s="11">
        <f t="shared" si="45"/>
        <v>0.6</v>
      </c>
      <c r="O16" s="11">
        <f t="shared" si="45"/>
        <v>0.7</v>
      </c>
      <c r="P16" s="11">
        <f t="shared" si="45"/>
        <v>0.79999999999999993</v>
      </c>
      <c r="Q16" s="11">
        <f t="shared" si="45"/>
        <v>0.89999999999999991</v>
      </c>
      <c r="R16" s="11">
        <f t="shared" si="45"/>
        <v>0.99999999999999989</v>
      </c>
      <c r="S16" s="11">
        <f t="shared" si="45"/>
        <v>1.0999999999999999</v>
      </c>
      <c r="T16" s="11">
        <f t="shared" si="45"/>
        <v>1.2</v>
      </c>
      <c r="U16" s="11">
        <f t="shared" si="45"/>
        <v>1.3</v>
      </c>
      <c r="V16" s="11">
        <f t="shared" si="45"/>
        <v>1.4000000000000001</v>
      </c>
      <c r="W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6:40" x14ac:dyDescent="0.25">
      <c r="F17" s="3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6:40" x14ac:dyDescent="0.25">
      <c r="F18" s="3"/>
      <c r="G18" s="10"/>
      <c r="H18" s="15">
        <v>1</v>
      </c>
      <c r="I18" s="15">
        <v>2</v>
      </c>
      <c r="J18" s="15">
        <v>3</v>
      </c>
      <c r="K18" s="15">
        <v>4</v>
      </c>
      <c r="L18" s="15">
        <v>5</v>
      </c>
      <c r="M18" s="15">
        <v>6</v>
      </c>
      <c r="N18" s="15">
        <v>7</v>
      </c>
      <c r="O18" s="15">
        <v>8</v>
      </c>
      <c r="P18" s="15">
        <v>9</v>
      </c>
      <c r="Q18" s="15">
        <v>10</v>
      </c>
      <c r="R18" s="15">
        <v>11</v>
      </c>
      <c r="S18" s="15">
        <v>12</v>
      </c>
      <c r="T18" s="15">
        <v>13</v>
      </c>
      <c r="U18" s="15">
        <v>14</v>
      </c>
      <c r="V18" s="15">
        <v>15</v>
      </c>
      <c r="W18" s="6"/>
      <c r="Y18" s="21">
        <v>0</v>
      </c>
      <c r="Z18" s="21">
        <v>1</v>
      </c>
      <c r="AA18" s="21">
        <v>2</v>
      </c>
      <c r="AB18" s="21">
        <v>3</v>
      </c>
      <c r="AC18" s="21">
        <v>4</v>
      </c>
      <c r="AD18" s="21">
        <v>5</v>
      </c>
      <c r="AE18" s="21">
        <v>6</v>
      </c>
      <c r="AF18" s="21">
        <v>7</v>
      </c>
      <c r="AG18" s="21">
        <v>8</v>
      </c>
      <c r="AH18" s="21">
        <v>9</v>
      </c>
      <c r="AI18" s="21">
        <v>10</v>
      </c>
      <c r="AJ18" s="21">
        <v>11</v>
      </c>
      <c r="AK18" s="21">
        <v>12</v>
      </c>
      <c r="AL18" s="21">
        <v>13</v>
      </c>
      <c r="AM18" s="21">
        <v>14</v>
      </c>
      <c r="AN18" s="21">
        <v>15</v>
      </c>
    </row>
    <row r="19" spans="6:40" x14ac:dyDescent="0.25">
      <c r="F19" s="3"/>
      <c r="G19" s="11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6"/>
      <c r="Y19" s="22" t="s">
        <v>9</v>
      </c>
      <c r="Z19" s="5">
        <f>H5</f>
        <v>0</v>
      </c>
      <c r="AA19" s="5">
        <f t="shared" ref="AA19:AN19" si="46">I5</f>
        <v>0</v>
      </c>
      <c r="AB19" s="5">
        <f t="shared" si="46"/>
        <v>0</v>
      </c>
      <c r="AC19" s="5">
        <f t="shared" si="46"/>
        <v>0</v>
      </c>
      <c r="AD19" s="5">
        <f t="shared" si="46"/>
        <v>0</v>
      </c>
      <c r="AE19" s="5">
        <f t="shared" si="46"/>
        <v>0</v>
      </c>
      <c r="AF19" s="5">
        <f t="shared" si="46"/>
        <v>0</v>
      </c>
      <c r="AG19" s="5">
        <f t="shared" si="46"/>
        <v>0</v>
      </c>
      <c r="AH19" s="5">
        <f t="shared" si="46"/>
        <v>0</v>
      </c>
      <c r="AI19" s="5">
        <f t="shared" si="46"/>
        <v>0</v>
      </c>
      <c r="AJ19" s="5">
        <f t="shared" si="46"/>
        <v>0</v>
      </c>
      <c r="AK19" s="5">
        <f t="shared" si="46"/>
        <v>0</v>
      </c>
      <c r="AL19" s="5">
        <f t="shared" si="46"/>
        <v>0</v>
      </c>
      <c r="AM19" s="5">
        <f t="shared" si="46"/>
        <v>0</v>
      </c>
      <c r="AN19" s="5">
        <f t="shared" si="46"/>
        <v>0</v>
      </c>
    </row>
    <row r="20" spans="6:40" x14ac:dyDescent="0.25">
      <c r="F20" s="3"/>
      <c r="G20" s="11">
        <v>2</v>
      </c>
      <c r="H20" s="27">
        <v>10</v>
      </c>
      <c r="I20" s="27">
        <v>3.6664794433403216</v>
      </c>
      <c r="J20" s="26">
        <v>0</v>
      </c>
      <c r="K20" s="27">
        <v>3.6093234997666493E-2</v>
      </c>
      <c r="L20" s="27">
        <v>4.8443803411747699E-2</v>
      </c>
      <c r="M20" s="27">
        <v>4.0910962831332491E-2</v>
      </c>
      <c r="N20" s="27">
        <v>2.6974483187765508E-2</v>
      </c>
      <c r="O20" s="27">
        <v>1.2993366316827683E-2</v>
      </c>
      <c r="P20" s="26">
        <v>0</v>
      </c>
      <c r="Q20" s="27">
        <v>7.4352694845866956E-4</v>
      </c>
      <c r="R20" s="27">
        <v>1.2505445074455961E-3</v>
      </c>
      <c r="S20" s="27">
        <v>1.3783181678365395E-3</v>
      </c>
      <c r="T20" s="27">
        <v>1.1425563335027695E-3</v>
      </c>
      <c r="U20" s="27">
        <v>6.3832051427899672E-4</v>
      </c>
      <c r="V20" s="27">
        <v>0</v>
      </c>
      <c r="W20" s="6"/>
      <c r="Y20" s="5" t="s">
        <v>12</v>
      </c>
      <c r="Z20" s="5">
        <f>H30</f>
        <v>0</v>
      </c>
      <c r="AA20" s="5">
        <f t="shared" ref="AA20:AN20" si="47">I30</f>
        <v>0.1</v>
      </c>
      <c r="AB20" s="5">
        <f t="shared" si="47"/>
        <v>0.2</v>
      </c>
      <c r="AC20" s="5">
        <f t="shared" si="47"/>
        <v>0.30000000000000004</v>
      </c>
      <c r="AD20" s="5">
        <f t="shared" si="47"/>
        <v>0.4</v>
      </c>
      <c r="AE20" s="5">
        <f t="shared" si="47"/>
        <v>0.5</v>
      </c>
      <c r="AF20" s="5">
        <f t="shared" si="47"/>
        <v>0.6</v>
      </c>
      <c r="AG20" s="5">
        <f t="shared" si="47"/>
        <v>0.7</v>
      </c>
      <c r="AH20" s="5">
        <f t="shared" si="47"/>
        <v>0.79999999999999993</v>
      </c>
      <c r="AI20" s="5">
        <f t="shared" si="47"/>
        <v>0.89999999999999991</v>
      </c>
      <c r="AJ20" s="5">
        <f t="shared" si="47"/>
        <v>0.99999999999999989</v>
      </c>
      <c r="AK20" s="5">
        <f t="shared" si="47"/>
        <v>1.0999999999999999</v>
      </c>
      <c r="AL20" s="5">
        <f t="shared" si="47"/>
        <v>1.2</v>
      </c>
      <c r="AM20" s="5">
        <f t="shared" si="47"/>
        <v>1.3</v>
      </c>
      <c r="AN20" s="5">
        <f t="shared" si="47"/>
        <v>1.4000000000000001</v>
      </c>
    </row>
    <row r="21" spans="6:40" x14ac:dyDescent="0.25">
      <c r="F21" s="3"/>
      <c r="G21" s="11">
        <v>2</v>
      </c>
      <c r="H21" s="27">
        <v>10</v>
      </c>
      <c r="I21" s="27">
        <v>4.6659177621953081</v>
      </c>
      <c r="J21" s="26">
        <v>0</v>
      </c>
      <c r="K21" s="27">
        <v>9.5920281352642897E-2</v>
      </c>
      <c r="L21" s="27">
        <v>0.11675426911753767</v>
      </c>
      <c r="M21" s="27">
        <v>8.820245741950597E-2</v>
      </c>
      <c r="N21" s="27">
        <v>5.396971989866009E-2</v>
      </c>
      <c r="O21" s="27">
        <v>2.4982870442623737E-2</v>
      </c>
      <c r="P21" s="26">
        <v>0</v>
      </c>
      <c r="Q21" s="27">
        <v>1.3612123796574943E-3</v>
      </c>
      <c r="R21" s="27">
        <v>2.249087159821334E-3</v>
      </c>
      <c r="S21" s="27">
        <v>2.4414744465067143E-3</v>
      </c>
      <c r="T21" s="27">
        <v>1.969976167334222E-3</v>
      </c>
      <c r="U21" s="27">
        <v>1.0934860677188404E-3</v>
      </c>
      <c r="V21" s="27">
        <v>0</v>
      </c>
      <c r="W21" s="6"/>
      <c r="Y21" s="5" t="s">
        <v>13</v>
      </c>
      <c r="Z21" s="5">
        <f>$G$19</f>
        <v>0</v>
      </c>
      <c r="AA21" s="5">
        <f t="shared" ref="AA21:AN21" si="48">$G$19</f>
        <v>0</v>
      </c>
      <c r="AB21" s="5">
        <f t="shared" si="48"/>
        <v>0</v>
      </c>
      <c r="AC21" s="5">
        <f t="shared" si="48"/>
        <v>0</v>
      </c>
      <c r="AD21" s="5">
        <f t="shared" si="48"/>
        <v>0</v>
      </c>
      <c r="AE21" s="5">
        <f t="shared" si="48"/>
        <v>0</v>
      </c>
      <c r="AF21" s="5">
        <f t="shared" si="48"/>
        <v>0</v>
      </c>
      <c r="AG21" s="5">
        <f t="shared" si="48"/>
        <v>0</v>
      </c>
      <c r="AH21" s="5">
        <f t="shared" si="48"/>
        <v>0</v>
      </c>
      <c r="AI21" s="5">
        <f t="shared" si="48"/>
        <v>0</v>
      </c>
      <c r="AJ21" s="5">
        <f t="shared" si="48"/>
        <v>0</v>
      </c>
      <c r="AK21" s="5">
        <f t="shared" si="48"/>
        <v>0</v>
      </c>
      <c r="AL21" s="5">
        <f t="shared" si="48"/>
        <v>0</v>
      </c>
      <c r="AM21" s="5">
        <f t="shared" si="48"/>
        <v>0</v>
      </c>
      <c r="AN21" s="5">
        <f t="shared" si="48"/>
        <v>0</v>
      </c>
    </row>
    <row r="22" spans="6:40" x14ac:dyDescent="0.25">
      <c r="F22" s="3"/>
      <c r="G22" s="11">
        <v>2</v>
      </c>
      <c r="H22" s="27">
        <v>10</v>
      </c>
      <c r="I22" s="27">
        <v>4.9971915638577711</v>
      </c>
      <c r="J22" s="26">
        <v>0</v>
      </c>
      <c r="K22" s="27">
        <v>0.23081775271105451</v>
      </c>
      <c r="L22" s="27">
        <v>0.23441889287936749</v>
      </c>
      <c r="M22" s="26">
        <v>0.14113059872811001</v>
      </c>
      <c r="N22" s="27">
        <v>7.5668876466971846E-2</v>
      </c>
      <c r="O22" s="27">
        <v>3.2933207619961199E-2</v>
      </c>
      <c r="P22" s="26">
        <v>0</v>
      </c>
      <c r="Q22" s="27">
        <v>1.7787594454330971E-3</v>
      </c>
      <c r="R22" s="27">
        <v>2.8549011496438897E-3</v>
      </c>
      <c r="S22" s="27">
        <v>2.9402012148065418E-3</v>
      </c>
      <c r="T22" s="27">
        <v>2.232927230458869E-3</v>
      </c>
      <c r="U22" s="27">
        <v>1.2075615489078408E-3</v>
      </c>
      <c r="V22" s="27">
        <v>0</v>
      </c>
      <c r="W22" s="6"/>
      <c r="Y22" s="5" t="s">
        <v>10</v>
      </c>
      <c r="Z22" s="5">
        <f>H34</f>
        <v>-100</v>
      </c>
      <c r="AA22" s="5">
        <f t="shared" ref="AA22:AN22" si="49">I34</f>
        <v>-23.329588758997616</v>
      </c>
      <c r="AB22" s="5">
        <f t="shared" si="49"/>
        <v>0</v>
      </c>
      <c r="AC22" s="5">
        <f t="shared" si="49"/>
        <v>-0.47958157103282328</v>
      </c>
      <c r="AD22" s="5">
        <f t="shared" si="49"/>
        <v>-0.58373179382908003</v>
      </c>
      <c r="AE22" s="5">
        <f t="shared" si="49"/>
        <v>-0.44095693821955034</v>
      </c>
      <c r="AF22" s="5">
        <f t="shared" si="49"/>
        <v>-0.26978585939608379</v>
      </c>
      <c r="AG22" s="5">
        <f t="shared" si="49"/>
        <v>-0.12487036729431121</v>
      </c>
      <c r="AH22" s="5">
        <f t="shared" si="49"/>
        <v>0</v>
      </c>
      <c r="AI22" s="5">
        <f t="shared" si="49"/>
        <v>-5.9642169421413749E-3</v>
      </c>
      <c r="AJ22" s="5">
        <f t="shared" si="49"/>
        <v>-9.8851656040671188E-3</v>
      </c>
      <c r="AK22" s="5">
        <f t="shared" si="49"/>
        <v>-1.0671978387248295E-2</v>
      </c>
      <c r="AL22" s="5">
        <f t="shared" si="49"/>
        <v>-8.6380550977339897E-3</v>
      </c>
      <c r="AM22" s="5">
        <f t="shared" si="49"/>
        <v>-4.7698227881513245E-3</v>
      </c>
      <c r="AN22" s="5">
        <f t="shared" si="49"/>
        <v>0</v>
      </c>
    </row>
    <row r="23" spans="6:40" x14ac:dyDescent="0.25">
      <c r="F23" s="3"/>
      <c r="G23" s="11">
        <v>2</v>
      </c>
      <c r="H23" s="27">
        <v>10</v>
      </c>
      <c r="I23" s="27">
        <v>5.3228483371053725</v>
      </c>
      <c r="J23" s="26">
        <v>0</v>
      </c>
      <c r="K23" s="27">
        <v>0.5929119548211963</v>
      </c>
      <c r="L23" s="27">
        <v>0.44893351969204864</v>
      </c>
      <c r="M23" s="26">
        <v>0.16617118010453741</v>
      </c>
      <c r="N23" s="27">
        <v>7.4561406676187408E-2</v>
      </c>
      <c r="O23" s="27">
        <v>3.101744009986343E-2</v>
      </c>
      <c r="P23" s="26">
        <v>0</v>
      </c>
      <c r="Q23" s="27">
        <v>2.0725889173907738E-3</v>
      </c>
      <c r="R23" s="27">
        <v>3.0655703815694012E-3</v>
      </c>
      <c r="S23" s="27">
        <v>2.8228238157530397E-3</v>
      </c>
      <c r="T23" s="26">
        <v>1.6940708949836514E-3</v>
      </c>
      <c r="U23" s="27">
        <v>9.108538124002277E-4</v>
      </c>
      <c r="V23" s="27">
        <v>0</v>
      </c>
      <c r="W23" s="6"/>
      <c r="Y23" s="5" t="s">
        <v>11</v>
      </c>
      <c r="Z23" s="5">
        <f>H47</f>
        <v>0</v>
      </c>
      <c r="AA23" s="5">
        <f t="shared" ref="AA23:AN23" si="50">I47</f>
        <v>0</v>
      </c>
      <c r="AB23" s="5">
        <f t="shared" si="50"/>
        <v>0</v>
      </c>
      <c r="AC23" s="5">
        <f t="shared" si="50"/>
        <v>0</v>
      </c>
      <c r="AD23" s="5">
        <f t="shared" si="50"/>
        <v>0</v>
      </c>
      <c r="AE23" s="5">
        <f t="shared" si="50"/>
        <v>0</v>
      </c>
      <c r="AF23" s="5">
        <f t="shared" si="50"/>
        <v>0</v>
      </c>
      <c r="AG23" s="5">
        <f t="shared" si="50"/>
        <v>0</v>
      </c>
      <c r="AH23" s="5">
        <f t="shared" si="50"/>
        <v>0</v>
      </c>
      <c r="AI23" s="5">
        <f t="shared" si="50"/>
        <v>0</v>
      </c>
      <c r="AJ23" s="5">
        <f t="shared" si="50"/>
        <v>0</v>
      </c>
      <c r="AK23" s="5">
        <f t="shared" si="50"/>
        <v>0</v>
      </c>
      <c r="AL23" s="5">
        <f t="shared" si="50"/>
        <v>0</v>
      </c>
      <c r="AM23" s="5">
        <f t="shared" si="50"/>
        <v>0</v>
      </c>
      <c r="AN23" s="5">
        <f t="shared" si="50"/>
        <v>0</v>
      </c>
    </row>
    <row r="24" spans="6:40" x14ac:dyDescent="0.25">
      <c r="F24" s="3"/>
      <c r="G24" s="11">
        <v>2</v>
      </c>
      <c r="H24" s="27">
        <v>10</v>
      </c>
      <c r="I24" s="27">
        <v>6.2942012462776642</v>
      </c>
      <c r="J24" s="26">
        <v>3.0291797462085315</v>
      </c>
      <c r="K24" s="27">
        <v>1.6918787240091173</v>
      </c>
      <c r="L24" s="27">
        <v>0.80219641043195589</v>
      </c>
      <c r="M24" s="26">
        <v>0</v>
      </c>
      <c r="N24" s="27">
        <v>2.5267159911168076E-2</v>
      </c>
      <c r="O24" s="27">
        <v>1.6458471841265442E-2</v>
      </c>
      <c r="P24" s="26">
        <v>0</v>
      </c>
      <c r="Q24" s="27">
        <v>2.5273166563234851E-3</v>
      </c>
      <c r="R24" s="27">
        <v>3.1393483531667477E-3</v>
      </c>
      <c r="S24" s="27">
        <v>2.2513594489568236E-3</v>
      </c>
      <c r="T24" s="26">
        <v>0</v>
      </c>
      <c r="U24" s="27">
        <v>2.8500200518233332E-4</v>
      </c>
      <c r="V24" s="27">
        <v>0</v>
      </c>
      <c r="W24" s="6"/>
      <c r="Y24" s="5" t="s">
        <v>14</v>
      </c>
      <c r="Z24" s="5">
        <f>((Z22)^2+(Z23)^2)^0.5</f>
        <v>100</v>
      </c>
      <c r="AA24" s="5">
        <f t="shared" ref="AA24" si="51">((AA22)^2+(AA23)^2)^0.5</f>
        <v>23.329588758997616</v>
      </c>
      <c r="AB24" s="5">
        <f t="shared" ref="AB24" si="52">((AB22)^2+(AB23)^2)^0.5</f>
        <v>0</v>
      </c>
      <c r="AC24" s="5">
        <f t="shared" ref="AC24" si="53">((AC22)^2+(AC23)^2)^0.5</f>
        <v>0.47958157103282328</v>
      </c>
      <c r="AD24" s="5">
        <f t="shared" ref="AD24" si="54">((AD22)^2+(AD23)^2)^0.5</f>
        <v>0.58373179382908003</v>
      </c>
      <c r="AE24" s="5">
        <f t="shared" ref="AE24" si="55">((AE22)^2+(AE23)^2)^0.5</f>
        <v>0.44095693821955034</v>
      </c>
      <c r="AF24" s="5">
        <f t="shared" ref="AF24" si="56">((AF22)^2+(AF23)^2)^0.5</f>
        <v>0.26978585939608379</v>
      </c>
      <c r="AG24" s="5">
        <f t="shared" ref="AG24" si="57">((AG22)^2+(AG23)^2)^0.5</f>
        <v>0.12487036729431121</v>
      </c>
      <c r="AH24" s="5">
        <f t="shared" ref="AH24" si="58">((AH22)^2+(AH23)^2)^0.5</f>
        <v>0</v>
      </c>
      <c r="AI24" s="5">
        <f t="shared" ref="AI24" si="59">((AI22)^2+(AI23)^2)^0.5</f>
        <v>5.9642169421413749E-3</v>
      </c>
      <c r="AJ24" s="5">
        <f t="shared" ref="AJ24" si="60">((AJ22)^2+(AJ23)^2)^0.5</f>
        <v>9.8851656040671188E-3</v>
      </c>
      <c r="AK24" s="5">
        <f t="shared" ref="AK24" si="61">((AK22)^2+(AK23)^2)^0.5</f>
        <v>1.0671978387248295E-2</v>
      </c>
      <c r="AL24" s="5">
        <f t="shared" ref="AL24" si="62">((AL22)^2+(AL23)^2)^0.5</f>
        <v>8.6380550977339897E-3</v>
      </c>
      <c r="AM24" s="5">
        <f t="shared" ref="AM24" si="63">((AM22)^2+(AM23)^2)^0.5</f>
        <v>4.7698227881513245E-3</v>
      </c>
      <c r="AN24" s="5">
        <f t="shared" ref="AN24" si="64">((AN22)^2+(AN23)^2)^0.5</f>
        <v>0</v>
      </c>
    </row>
    <row r="25" spans="6:40" x14ac:dyDescent="0.25">
      <c r="F25" s="3"/>
      <c r="G25" s="11">
        <v>2</v>
      </c>
      <c r="H25" s="27">
        <v>10</v>
      </c>
      <c r="I25" s="27">
        <v>6.8247749238668725</v>
      </c>
      <c r="J25" s="27">
        <v>4.1306342718624851</v>
      </c>
      <c r="K25" s="27">
        <v>2.3432148786517568</v>
      </c>
      <c r="L25" s="27">
        <v>1.067959086156554</v>
      </c>
      <c r="M25" s="26">
        <v>0</v>
      </c>
      <c r="N25" s="27">
        <v>9.8639597545759506E-3</v>
      </c>
      <c r="O25" s="27">
        <v>9.3137937297009636E-3</v>
      </c>
      <c r="P25" s="26">
        <v>4.6858777830325726E-3</v>
      </c>
      <c r="Q25" s="27">
        <v>3.9612488054194175E-3</v>
      </c>
      <c r="R25" s="27">
        <v>3.4073640317220425E-3</v>
      </c>
      <c r="S25" s="27">
        <v>2.0823339372400733E-3</v>
      </c>
      <c r="T25" s="26">
        <v>0</v>
      </c>
      <c r="U25" s="27">
        <v>8.9646185204610778E-5</v>
      </c>
      <c r="V25" s="27">
        <v>0</v>
      </c>
      <c r="W25" s="6"/>
      <c r="Y25" s="5" t="s">
        <v>15</v>
      </c>
      <c r="Z25" s="8">
        <f>B5</f>
        <v>101325</v>
      </c>
      <c r="AA25" s="8">
        <f>(Z25+(Z24^2)/2)-(AA24^2)/2</f>
        <v>106052.86514416803</v>
      </c>
      <c r="AB25" s="8">
        <f t="shared" ref="AB25" si="65">(AA25+(AA24^2)/2)-(AB24^2)/2</f>
        <v>106325</v>
      </c>
      <c r="AC25" s="8">
        <f t="shared" ref="AC25" si="66">(AB25+(AB24^2)/2)-(AC24^2)/2</f>
        <v>106324.88500075837</v>
      </c>
      <c r="AD25" s="8">
        <f t="shared" ref="AD25" si="67">(AC25+(AC24^2)/2)-(AD24^2)/2</f>
        <v>106324.82962859643</v>
      </c>
      <c r="AE25" s="8">
        <f t="shared" ref="AE25" si="68">(AD25+(AD24^2)/2)-(AE24^2)/2</f>
        <v>106324.90277848931</v>
      </c>
      <c r="AF25" s="8">
        <f t="shared" ref="AF25" si="69">(AE25+(AE24^2)/2)-(AF24^2)/2</f>
        <v>106324.96360779504</v>
      </c>
      <c r="AG25" s="8">
        <f t="shared" ref="AG25" si="70">(AF25+(AF24^2)/2)-(AG24^2)/2</f>
        <v>106324.99220369569</v>
      </c>
      <c r="AH25" s="8">
        <f t="shared" ref="AH25" si="71">(AG25+(AG24^2)/2)-(AH24^2)/2</f>
        <v>106325</v>
      </c>
      <c r="AI25" s="8">
        <f t="shared" ref="AI25" si="72">(AH25+(AH24^2)/2)-(AI24^2)/2</f>
        <v>106324.99998221405</v>
      </c>
      <c r="AJ25" s="8">
        <f t="shared" ref="AJ25" si="73">(AI25+(AI24^2)/2)-(AJ24^2)/2</f>
        <v>106324.99995114176</v>
      </c>
      <c r="AK25" s="8">
        <f t="shared" ref="AK25" si="74">(AJ25+(AJ24^2)/2)-(AK24^2)/2</f>
        <v>106324.99994305444</v>
      </c>
      <c r="AL25" s="8">
        <f t="shared" ref="AL25" si="75">(AK25+(AK24^2)/2)-(AL24^2)/2</f>
        <v>106324.999962692</v>
      </c>
      <c r="AM25" s="8">
        <f t="shared" ref="AM25" si="76">(AL25+(AL24^2)/2)-(AM24^2)/2</f>
        <v>106324.99998862439</v>
      </c>
      <c r="AN25" s="8">
        <f t="shared" ref="AN25" si="77">(AM25+(AM24^2)/2)-(AN24^2)/2</f>
        <v>106325</v>
      </c>
    </row>
    <row r="26" spans="6:40" x14ac:dyDescent="0.25">
      <c r="F26" s="3"/>
      <c r="G26" s="11">
        <v>2</v>
      </c>
      <c r="H26" s="27">
        <v>10</v>
      </c>
      <c r="I26" s="27">
        <v>6.8742621311825642</v>
      </c>
      <c r="J26" s="27">
        <v>4.3253629985068835</v>
      </c>
      <c r="K26" s="27">
        <v>2.4823804387425161</v>
      </c>
      <c r="L26" s="27">
        <v>1.126418427016403</v>
      </c>
      <c r="M26" s="26">
        <v>0</v>
      </c>
      <c r="N26" s="27">
        <v>4.569722702545677E-3</v>
      </c>
      <c r="O26" s="27">
        <v>5.6918423685495389E-3</v>
      </c>
      <c r="P26" s="26">
        <v>4.7304731188444523E-3</v>
      </c>
      <c r="Q26" s="27">
        <v>4.0656632438667399E-3</v>
      </c>
      <c r="R26" s="27">
        <v>3.2324024899330331E-3</v>
      </c>
      <c r="S26" s="27">
        <v>1.8472845018606739E-3</v>
      </c>
      <c r="T26" s="26">
        <v>0</v>
      </c>
      <c r="U26" s="27">
        <v>2.8077271488523335E-5</v>
      </c>
      <c r="V26" s="27">
        <v>0</v>
      </c>
      <c r="W26" s="6"/>
      <c r="Y26" s="5" t="s">
        <v>16</v>
      </c>
      <c r="Z26" s="5">
        <f>(Z25-$B$5)/(($B$4^2)/2)</f>
        <v>0</v>
      </c>
      <c r="AA26" s="5">
        <f t="shared" ref="AA26" si="78">(AA25-$B$5)/(($B$4^2)/2)</f>
        <v>10.50636698704006</v>
      </c>
      <c r="AB26" s="5">
        <f t="shared" ref="AB26" si="79">(AB25-$B$5)/(($B$4^2)/2)</f>
        <v>11.111111111111111</v>
      </c>
      <c r="AC26" s="5">
        <f t="shared" ref="AC26" si="80">(AC25-$B$5)/(($B$4^2)/2)</f>
        <v>11.110855557240818</v>
      </c>
      <c r="AD26" s="5">
        <f t="shared" ref="AD26" si="81">(AD25-$B$5)/(($B$4^2)/2)</f>
        <v>11.11073250799207</v>
      </c>
      <c r="AE26" s="5">
        <f t="shared" ref="AE26" si="82">(AE25-$B$5)/(($B$4^2)/2)</f>
        <v>11.110895063309581</v>
      </c>
      <c r="AF26" s="5">
        <f t="shared" ref="AF26" si="83">(AF25-$B$5)/(($B$4^2)/2)</f>
        <v>11.111030239544537</v>
      </c>
      <c r="AG26" s="5">
        <f t="shared" ref="AG26" si="84">(AG25-$B$5)/(($B$4^2)/2)</f>
        <v>11.111093785990411</v>
      </c>
      <c r="AH26" s="5">
        <f t="shared" ref="AH26" si="85">(AH25-$B$5)/(($B$4^2)/2)</f>
        <v>11.111111111111111</v>
      </c>
      <c r="AI26" s="5">
        <f t="shared" ref="AI26" si="86">(AI25-$B$5)/(($B$4^2)/2)</f>
        <v>11.111111071586784</v>
      </c>
      <c r="AJ26" s="5">
        <f t="shared" ref="AJ26" si="87">(AJ25-$B$5)/(($B$4^2)/2)</f>
        <v>11.111111002537234</v>
      </c>
      <c r="AK26" s="5">
        <f t="shared" ref="AK26" si="88">(AK25-$B$5)/(($B$4^2)/2)</f>
        <v>11.111110984565425</v>
      </c>
      <c r="AL26" s="5">
        <f t="shared" ref="AL26" si="89">(AL25-$B$5)/(($B$4^2)/2)</f>
        <v>11.111111028204451</v>
      </c>
      <c r="AM26" s="5">
        <f t="shared" ref="AM26" si="90">(AM25-$B$5)/(($B$4^2)/2)</f>
        <v>11.111111085831977</v>
      </c>
      <c r="AN26" s="5">
        <f t="shared" ref="AN26" si="91">(AN25-$B$5)/(($B$4^2)/2)</f>
        <v>11.111111111111111</v>
      </c>
    </row>
    <row r="27" spans="6:40" x14ac:dyDescent="0.25">
      <c r="F27" s="3"/>
      <c r="G27" s="11">
        <v>2</v>
      </c>
      <c r="H27" s="27">
        <v>10</v>
      </c>
      <c r="I27" s="27">
        <v>6.3469089756301802</v>
      </c>
      <c r="J27" s="27">
        <v>3.8141721147967402</v>
      </c>
      <c r="K27" s="27">
        <v>2.1345213265900025</v>
      </c>
      <c r="L27" s="27">
        <v>0.95533103846002265</v>
      </c>
      <c r="M27" s="26">
        <v>0</v>
      </c>
      <c r="N27" s="27">
        <v>2.3532348198367259E-3</v>
      </c>
      <c r="O27" s="27">
        <v>3.4642262416341302E-3</v>
      </c>
      <c r="P27" s="27">
        <v>3.5149409372459348E-3</v>
      </c>
      <c r="Q27" s="27">
        <v>3.1888561505821608E-3</v>
      </c>
      <c r="R27" s="27">
        <v>2.5037462580324355E-3</v>
      </c>
      <c r="S27" s="27">
        <v>1.4029215610126431E-3</v>
      </c>
      <c r="T27" s="26">
        <v>0</v>
      </c>
      <c r="U27" s="27">
        <v>8.7703557733729261E-6</v>
      </c>
      <c r="V27" s="27">
        <v>0</v>
      </c>
      <c r="W27" s="6"/>
    </row>
    <row r="28" spans="6:40" x14ac:dyDescent="0.25">
      <c r="F28" s="3"/>
      <c r="G28" s="11">
        <v>2</v>
      </c>
      <c r="H28" s="27">
        <v>10</v>
      </c>
      <c r="I28" s="27">
        <v>4.6992006873004479</v>
      </c>
      <c r="J28" s="27">
        <v>2.4498933000493759</v>
      </c>
      <c r="K28" s="27">
        <v>1.2861995980545307</v>
      </c>
      <c r="L28" s="27">
        <v>0.56038281552097502</v>
      </c>
      <c r="M28" s="26">
        <v>0</v>
      </c>
      <c r="N28" s="27">
        <v>1.0558762057768366E-3</v>
      </c>
      <c r="O28" s="27">
        <v>1.6809095007011431E-3</v>
      </c>
      <c r="P28" s="27">
        <v>1.8507213346615425E-3</v>
      </c>
      <c r="Q28" s="27">
        <v>1.7294823735184255E-3</v>
      </c>
      <c r="R28" s="27">
        <v>1.3618126267825187E-3</v>
      </c>
      <c r="S28" s="27">
        <v>7.5733102388139608E-4</v>
      </c>
      <c r="T28" s="26">
        <v>0</v>
      </c>
      <c r="U28" s="27">
        <v>2.5051578459644161E-6</v>
      </c>
      <c r="V28" s="27">
        <v>0</v>
      </c>
      <c r="W28" s="6"/>
    </row>
    <row r="29" spans="6:40" x14ac:dyDescent="0.25">
      <c r="F29" s="3"/>
      <c r="G29" s="11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6"/>
    </row>
    <row r="30" spans="6:40" x14ac:dyDescent="0.25">
      <c r="F30" s="3"/>
      <c r="G30" s="10"/>
      <c r="H30" s="11">
        <v>0</v>
      </c>
      <c r="I30" s="11">
        <f>H30+$B$2</f>
        <v>0.1</v>
      </c>
      <c r="J30" s="11">
        <f t="shared" ref="J30:V30" si="92">I30+$B$2</f>
        <v>0.2</v>
      </c>
      <c r="K30" s="11">
        <f t="shared" si="92"/>
        <v>0.30000000000000004</v>
      </c>
      <c r="L30" s="11">
        <f t="shared" si="92"/>
        <v>0.4</v>
      </c>
      <c r="M30" s="11">
        <f t="shared" si="92"/>
        <v>0.5</v>
      </c>
      <c r="N30" s="11">
        <f t="shared" si="92"/>
        <v>0.6</v>
      </c>
      <c r="O30" s="11">
        <f t="shared" si="92"/>
        <v>0.7</v>
      </c>
      <c r="P30" s="11">
        <f t="shared" si="92"/>
        <v>0.79999999999999993</v>
      </c>
      <c r="Q30" s="11">
        <f t="shared" si="92"/>
        <v>0.89999999999999991</v>
      </c>
      <c r="R30" s="11">
        <f t="shared" si="92"/>
        <v>0.99999999999999989</v>
      </c>
      <c r="S30" s="11">
        <f t="shared" si="92"/>
        <v>1.0999999999999999</v>
      </c>
      <c r="T30" s="11">
        <f t="shared" si="92"/>
        <v>1.2</v>
      </c>
      <c r="U30" s="11">
        <f t="shared" si="92"/>
        <v>1.3</v>
      </c>
      <c r="V30" s="11">
        <f t="shared" si="92"/>
        <v>1.4000000000000001</v>
      </c>
      <c r="W30" s="6"/>
    </row>
    <row r="31" spans="6:40" x14ac:dyDescent="0.25">
      <c r="F31" s="3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7"/>
    </row>
    <row r="32" spans="6:40" x14ac:dyDescent="0.25">
      <c r="F32" s="3"/>
      <c r="G32" s="10"/>
      <c r="H32" s="15">
        <v>1</v>
      </c>
      <c r="I32" s="15">
        <v>2</v>
      </c>
      <c r="J32" s="15">
        <v>3</v>
      </c>
      <c r="K32" s="15">
        <v>4</v>
      </c>
      <c r="L32" s="15">
        <v>5</v>
      </c>
      <c r="M32" s="15">
        <v>6</v>
      </c>
      <c r="N32" s="15">
        <v>7</v>
      </c>
      <c r="O32" s="15">
        <v>8</v>
      </c>
      <c r="P32" s="15">
        <v>9</v>
      </c>
      <c r="Q32" s="15">
        <v>10</v>
      </c>
      <c r="R32" s="15">
        <v>11</v>
      </c>
      <c r="S32" s="15">
        <v>12</v>
      </c>
      <c r="T32" s="15">
        <v>13</v>
      </c>
      <c r="U32" s="15">
        <v>14</v>
      </c>
      <c r="V32" s="15">
        <v>15</v>
      </c>
      <c r="W32" s="6"/>
    </row>
    <row r="33" spans="6:23" x14ac:dyDescent="0.25">
      <c r="F33" s="3" t="s">
        <v>10</v>
      </c>
      <c r="G33" s="11">
        <f t="shared" ref="G33:G41" si="93">G34+B$2</f>
        <v>0.99999999999999989</v>
      </c>
      <c r="H33" s="16">
        <f>(H5-H6)/$B$2</f>
        <v>-100</v>
      </c>
      <c r="I33" s="16">
        <f>(I5-I6)/$B$2</f>
        <v>-36.664794405488266</v>
      </c>
      <c r="J33" s="16">
        <f t="shared" ref="J33:V33" si="94">(J5-J6)/$B$2</f>
        <v>0</v>
      </c>
      <c r="K33" s="16">
        <f t="shared" si="94"/>
        <v>-0.3609102119109765</v>
      </c>
      <c r="L33" s="16">
        <f t="shared" si="94"/>
        <v>-0.48439616736634161</v>
      </c>
      <c r="M33" s="16">
        <f t="shared" si="94"/>
        <v>-0.4090518600475479</v>
      </c>
      <c r="N33" s="16">
        <f t="shared" si="94"/>
        <v>-0.26968512261705063</v>
      </c>
      <c r="O33" s="16">
        <f t="shared" si="94"/>
        <v>-0.12989338407597312</v>
      </c>
      <c r="P33" s="16">
        <f t="shared" si="94"/>
        <v>0</v>
      </c>
      <c r="Q33" s="16">
        <f t="shared" si="94"/>
        <v>-6.5293922177577261E-3</v>
      </c>
      <c r="R33" s="16">
        <f t="shared" si="94"/>
        <v>-1.0927330690291356E-2</v>
      </c>
      <c r="S33" s="16">
        <f t="shared" si="94"/>
        <v>-1.2086438218637698E-2</v>
      </c>
      <c r="T33" s="16">
        <f t="shared" si="94"/>
        <v>-9.9665371236243947E-3</v>
      </c>
      <c r="U33" s="16">
        <f t="shared" si="94"/>
        <v>-5.5901060030540241E-3</v>
      </c>
      <c r="V33" s="16">
        <f t="shared" si="94"/>
        <v>0</v>
      </c>
      <c r="W33" s="6"/>
    </row>
    <row r="34" spans="6:23" x14ac:dyDescent="0.25">
      <c r="F34" s="3"/>
      <c r="G34" s="11">
        <f t="shared" si="93"/>
        <v>0.89999999999999991</v>
      </c>
      <c r="H34" s="16">
        <f>(H5-H7)/$B$2</f>
        <v>-100</v>
      </c>
      <c r="I34" s="16">
        <f>(I5-I7)/(2*$B$2)</f>
        <v>-23.329588758997616</v>
      </c>
      <c r="J34" s="16">
        <f t="shared" ref="J34:P34" si="95">(J5-J7)/$B$2</f>
        <v>0</v>
      </c>
      <c r="K34" s="16">
        <f t="shared" ref="K34:L34" si="96">(K5-K7)/(2*$B$2)</f>
        <v>-0.47958157103282328</v>
      </c>
      <c r="L34" s="16">
        <f t="shared" si="96"/>
        <v>-0.58373179382908003</v>
      </c>
      <c r="M34" s="16">
        <f t="shared" ref="M34:O34" si="97">(M5-M7)/(2*$B$2)</f>
        <v>-0.44095693821955034</v>
      </c>
      <c r="N34" s="16">
        <f t="shared" si="97"/>
        <v>-0.26978585939608379</v>
      </c>
      <c r="O34" s="16">
        <f t="shared" si="97"/>
        <v>-0.12487036729431121</v>
      </c>
      <c r="P34" s="16">
        <f t="shared" si="95"/>
        <v>0</v>
      </c>
      <c r="Q34" s="16">
        <f t="shared" ref="Q34:S34" si="98">(Q5-Q7)/(2*$B$2)</f>
        <v>-5.9642169421413749E-3</v>
      </c>
      <c r="R34" s="16">
        <f t="shared" si="98"/>
        <v>-9.8851656040671188E-3</v>
      </c>
      <c r="S34" s="16">
        <f t="shared" si="98"/>
        <v>-1.0671978387248295E-2</v>
      </c>
      <c r="T34" s="16">
        <f t="shared" ref="T34:V34" si="99">(T5-T7)/(2*$B$2)</f>
        <v>-8.6380550977339897E-3</v>
      </c>
      <c r="U34" s="16">
        <f t="shared" si="99"/>
        <v>-4.7698227881513245E-3</v>
      </c>
      <c r="V34" s="16">
        <f t="shared" si="99"/>
        <v>0</v>
      </c>
      <c r="W34" s="6"/>
    </row>
    <row r="35" spans="6:23" x14ac:dyDescent="0.25">
      <c r="F35" s="3"/>
      <c r="G35" s="11">
        <f t="shared" si="93"/>
        <v>0.79999999999999993</v>
      </c>
      <c r="H35" s="16">
        <f t="shared" ref="H35:T42" si="100">(H6-H8)/$B$2</f>
        <v>0</v>
      </c>
      <c r="I35" s="16">
        <f t="shared" ref="I35:L42" si="101">(I6-I8)/(2*$B$2)</f>
        <v>-6.6535604213817141</v>
      </c>
      <c r="J35" s="16">
        <f t="shared" ref="J35" si="102">(J6-J8)/$B$2</f>
        <v>0</v>
      </c>
      <c r="K35" s="16">
        <f t="shared" ref="K35:L35" si="103">(K6-K8)/(2*$B$2)</f>
        <v>-0.97360880536102001</v>
      </c>
      <c r="L35" s="16">
        <f t="shared" si="103"/>
        <v>-0.92984709162776769</v>
      </c>
      <c r="M35" s="16">
        <f t="shared" ref="M35:O35" si="104">(M6-M8)/(2*$B$2)</f>
        <v>-0.50105082856420435</v>
      </c>
      <c r="N35" s="16">
        <f t="shared" si="104"/>
        <v>-0.24340110484512306</v>
      </c>
      <c r="O35" s="16">
        <f t="shared" si="104"/>
        <v>-9.963979172383719E-2</v>
      </c>
      <c r="P35" s="16">
        <f t="shared" ref="P35" si="105">(P6-P8)/$B$2</f>
        <v>0</v>
      </c>
      <c r="Q35" s="16">
        <f t="shared" ref="Q35:S35" si="106">(Q6-Q8)/(2*$B$2)</f>
        <v>-4.5961819494863346E-3</v>
      </c>
      <c r="R35" s="16">
        <f t="shared" si="106"/>
        <v>-7.0783574068922876E-3</v>
      </c>
      <c r="S35" s="16">
        <f t="shared" si="106"/>
        <v>-6.8969391936342904E-3</v>
      </c>
      <c r="T35" s="16">
        <f t="shared" ref="T35:V35" si="107">(T6-T8)/(2*$B$2)</f>
        <v>-4.7814937207281217E-3</v>
      </c>
      <c r="U35" s="16">
        <f t="shared" si="107"/>
        <v>-2.5015308866954086E-3</v>
      </c>
      <c r="V35" s="16">
        <f t="shared" si="107"/>
        <v>0</v>
      </c>
      <c r="W35" s="6"/>
    </row>
    <row r="36" spans="6:23" x14ac:dyDescent="0.25">
      <c r="F36" s="3"/>
      <c r="G36" s="11">
        <f t="shared" si="93"/>
        <v>0.7</v>
      </c>
      <c r="H36" s="16">
        <f>(H7-H9)/$B$2</f>
        <v>0</v>
      </c>
      <c r="I36" s="16">
        <f t="shared" si="101"/>
        <v>-3.284652253671676</v>
      </c>
      <c r="J36" s="16">
        <f t="shared" ref="J36" si="108">(J7-J9)/$B$2</f>
        <v>0</v>
      </c>
      <c r="K36" s="16">
        <f t="shared" ref="K36:L36" si="109">(K7-K9)/(2*$B$2)</f>
        <v>-2.4849559244824526</v>
      </c>
      <c r="L36" s="16">
        <f t="shared" si="109"/>
        <v>-1.6608912539672411</v>
      </c>
      <c r="M36" s="16">
        <f t="shared" ref="M36:O36" si="110">(M7-M9)/(2*$B$2)</f>
        <v>-0.38982496815088225</v>
      </c>
      <c r="N36" s="16">
        <f t="shared" si="110"/>
        <v>-0.10286996133209207</v>
      </c>
      <c r="O36" s="16">
        <f t="shared" si="110"/>
        <v>-3.0070990377456339E-2</v>
      </c>
      <c r="P36" s="16">
        <f t="shared" ref="P36" si="111">(P7-P9)/$B$2</f>
        <v>0</v>
      </c>
      <c r="Q36" s="16">
        <f t="shared" ref="Q36:S36" si="112">(Q7-Q9)/(2*$B$2)</f>
        <v>-3.2503411620161036E-3</v>
      </c>
      <c r="R36" s="16">
        <f t="shared" si="112"/>
        <v>-3.726912190875945E-3</v>
      </c>
      <c r="S36" s="16">
        <f t="shared" si="112"/>
        <v>-1.767024038147227E-3</v>
      </c>
      <c r="T36" s="16">
        <f t="shared" ref="T36:V36" si="113">(T7-T9)/(2*$B$2)</f>
        <v>1.1797990244688202E-3</v>
      </c>
      <c r="U36" s="16">
        <f t="shared" si="113"/>
        <v>7.8652972680904264E-4</v>
      </c>
      <c r="V36" s="16">
        <f t="shared" si="113"/>
        <v>0</v>
      </c>
      <c r="W36" s="6"/>
    </row>
    <row r="37" spans="6:23" x14ac:dyDescent="0.25">
      <c r="F37" s="3"/>
      <c r="G37" s="11">
        <f t="shared" si="93"/>
        <v>0.6</v>
      </c>
      <c r="H37" s="16">
        <f t="shared" si="100"/>
        <v>0</v>
      </c>
      <c r="I37" s="16">
        <f t="shared" si="101"/>
        <v>-6.4850461348501209</v>
      </c>
      <c r="J37" s="16">
        <f t="shared" ref="J37" si="114">(J8-J10)/$B$2</f>
        <v>-30.291785605373168</v>
      </c>
      <c r="K37" s="16">
        <f t="shared" ref="K37:L37" si="115">(K8-K10)/(2*$B$2)</f>
        <v>-7.3053148263252918</v>
      </c>
      <c r="L37" s="16">
        <f t="shared" si="115"/>
        <v>-2.8389189870112119</v>
      </c>
      <c r="M37" s="16">
        <f t="shared" ref="M37" si="116">(M8-M10)/$B$2</f>
        <v>1.4111535171759566</v>
      </c>
      <c r="N37" s="16">
        <f t="shared" ref="N37:O37" si="117">(N8-N10)/(2*$B$2)</f>
        <v>0.25213886831361237</v>
      </c>
      <c r="O37" s="16">
        <f t="shared" si="117"/>
        <v>8.2588491585908155E-2</v>
      </c>
      <c r="P37" s="16">
        <f t="shared" ref="P37" si="118">(P8-P10)/$B$2</f>
        <v>0</v>
      </c>
      <c r="Q37" s="16">
        <f t="shared" ref="Q37:S37" si="119">(Q8-Q10)/(2*$B$2)</f>
        <v>-3.6056045366059768E-3</v>
      </c>
      <c r="R37" s="16">
        <f t="shared" si="119"/>
        <v>-1.5224903961767234E-3</v>
      </c>
      <c r="S37" s="16">
        <f t="shared" si="119"/>
        <v>2.8845256702533144E-3</v>
      </c>
      <c r="T37" s="16">
        <f t="shared" ref="T37" si="120">(T8-T10)/$B$2</f>
        <v>1.9529524565080638E-2</v>
      </c>
      <c r="U37" s="16">
        <f t="shared" ref="U37:V37" si="121">(U8-U10)/(2*$B$2)</f>
        <v>4.0459588912163729E-3</v>
      </c>
      <c r="V37" s="16">
        <f t="shared" si="121"/>
        <v>0</v>
      </c>
      <c r="W37" s="6"/>
    </row>
    <row r="38" spans="6:23" x14ac:dyDescent="0.25">
      <c r="F38" s="3"/>
      <c r="G38" s="11">
        <f t="shared" si="93"/>
        <v>0.5</v>
      </c>
      <c r="H38" s="16">
        <f t="shared" si="100"/>
        <v>0</v>
      </c>
      <c r="I38" s="16">
        <f t="shared" si="101"/>
        <v>-7.5096310489841001</v>
      </c>
      <c r="J38" s="16">
        <f t="shared" si="101"/>
        <v>-20.653165684042552</v>
      </c>
      <c r="K38" s="16">
        <f t="shared" si="101"/>
        <v>-8.7515281554480637</v>
      </c>
      <c r="L38" s="16">
        <f t="shared" si="101"/>
        <v>-3.0951640973288228</v>
      </c>
      <c r="M38" s="16">
        <f t="shared" ref="M38" si="122">(M9-M11)/$B$2</f>
        <v>1.6615638127408652</v>
      </c>
      <c r="N38" s="16">
        <f t="shared" ref="N38:O38" si="123">(N9-N11)/(2*$B$2)</f>
        <v>0.32371747529890749</v>
      </c>
      <c r="O38" s="16">
        <f t="shared" si="123"/>
        <v>0.10906616798748818</v>
      </c>
      <c r="P38" s="16">
        <f t="shared" ref="P38" si="124">(P9-P11)/$B$2</f>
        <v>-4.501378913491208E-2</v>
      </c>
      <c r="Q38" s="16">
        <f t="shared" ref="Q38:S38" si="125">(Q9-Q11)/(2*$B$2)</f>
        <v>-9.1432190395235712E-3</v>
      </c>
      <c r="R38" s="16">
        <f t="shared" si="125"/>
        <v>-1.9070891872560248E-3</v>
      </c>
      <c r="S38" s="16">
        <f t="shared" si="125"/>
        <v>3.0564924472210983E-3</v>
      </c>
      <c r="T38" s="16">
        <f t="shared" ref="T38" si="126">(T9-T11)/$B$2</f>
        <v>1.4916512146530342E-2</v>
      </c>
      <c r="U38" s="16">
        <f t="shared" ref="U38:V38" si="127">(U9-U11)/(2*$B$2)</f>
        <v>3.5919439655037111E-3</v>
      </c>
      <c r="V38" s="16">
        <f t="shared" si="127"/>
        <v>0</v>
      </c>
      <c r="W38" s="6"/>
    </row>
    <row r="39" spans="6:23" x14ac:dyDescent="0.25">
      <c r="F39" s="3"/>
      <c r="G39" s="11">
        <f t="shared" si="93"/>
        <v>0.4</v>
      </c>
      <c r="H39" s="16">
        <f t="shared" si="100"/>
        <v>0</v>
      </c>
      <c r="I39" s="16">
        <f t="shared" si="101"/>
        <v>-2.9003048635289508</v>
      </c>
      <c r="J39" s="16">
        <f t="shared" si="101"/>
        <v>-6.4809183930437975</v>
      </c>
      <c r="K39" s="16">
        <f t="shared" si="101"/>
        <v>-3.9525183008145071</v>
      </c>
      <c r="L39" s="16">
        <f t="shared" si="101"/>
        <v>-1.6211240418767159</v>
      </c>
      <c r="M39" s="16">
        <f t="shared" ref="M39" si="128">(M10-M12)/$B$2</f>
        <v>0</v>
      </c>
      <c r="N39" s="16">
        <f t="shared" ref="N39:O39" si="129">(N10-N12)/(2*$B$2)</f>
        <v>0.10371850166133324</v>
      </c>
      <c r="O39" s="16">
        <f t="shared" si="129"/>
        <v>5.4400222435009075E-2</v>
      </c>
      <c r="P39" s="16">
        <f t="shared" ref="P39" si="130">(P10-P12)/$B$2</f>
        <v>-4.4895810831736965E-2</v>
      </c>
      <c r="Q39" s="16">
        <f t="shared" ref="Q39:S39" si="131">(Q10-Q12)/(2*$B$2)</f>
        <v>-7.4247431110026543E-3</v>
      </c>
      <c r="R39" s="16">
        <f t="shared" si="131"/>
        <v>-7.1555939613767491E-4</v>
      </c>
      <c r="S39" s="16">
        <f t="shared" si="131"/>
        <v>1.6585601474676385E-3</v>
      </c>
      <c r="T39" s="16">
        <f t="shared" ref="T39" si="132">(T10-T12)/$B$2</f>
        <v>0</v>
      </c>
      <c r="U39" s="16">
        <f t="shared" ref="U39:V39" si="133">(U10-U12)/(2*$B$2)</f>
        <v>1.1276043207835685E-3</v>
      </c>
      <c r="V39" s="16">
        <f t="shared" si="133"/>
        <v>0</v>
      </c>
      <c r="W39" s="6"/>
    </row>
    <row r="40" spans="6:23" x14ac:dyDescent="0.25">
      <c r="F40" s="3"/>
      <c r="G40" s="11">
        <f t="shared" si="93"/>
        <v>0.30000000000000004</v>
      </c>
      <c r="H40" s="16">
        <f t="shared" si="100"/>
        <v>0</v>
      </c>
      <c r="I40" s="16">
        <f t="shared" si="101"/>
        <v>2.3893283950537025</v>
      </c>
      <c r="J40" s="16">
        <f t="shared" si="101"/>
        <v>1.5823074330720011</v>
      </c>
      <c r="K40" s="16">
        <f t="shared" si="101"/>
        <v>1.0434616633960792</v>
      </c>
      <c r="L40" s="16">
        <f t="shared" si="101"/>
        <v>0.56313393371591858</v>
      </c>
      <c r="M40" s="16">
        <f t="shared" ref="M40" si="134">(M11-M13)/$B$2</f>
        <v>0</v>
      </c>
      <c r="N40" s="16">
        <f t="shared" ref="N40:O40" si="135">(N11-N13)/(2*$B$2)</f>
        <v>3.7576063991822589E-2</v>
      </c>
      <c r="O40" s="16">
        <f t="shared" si="135"/>
        <v>2.9324030151362701E-2</v>
      </c>
      <c r="P40" s="16">
        <f t="shared" ref="P40:S40" si="136">(P11-P13)/(2*$B$2)</f>
        <v>5.9640485103031847E-3</v>
      </c>
      <c r="Q40" s="16">
        <f t="shared" si="136"/>
        <v>3.5904861278516316E-3</v>
      </c>
      <c r="R40" s="16">
        <f t="shared" si="136"/>
        <v>4.036675946811146E-3</v>
      </c>
      <c r="S40" s="16">
        <f t="shared" si="136"/>
        <v>2.9970577484562922E-3</v>
      </c>
      <c r="T40" s="16">
        <f t="shared" ref="T40" si="137">(T11-T13)/$B$2</f>
        <v>0</v>
      </c>
      <c r="U40" s="16">
        <f t="shared" ref="U40:V40" si="138">(U11-U13)/(2*$B$2)</f>
        <v>3.5312105917046109E-4</v>
      </c>
      <c r="V40" s="16">
        <f t="shared" si="138"/>
        <v>0</v>
      </c>
      <c r="W40" s="6"/>
    </row>
    <row r="41" spans="6:23" x14ac:dyDescent="0.25">
      <c r="F41" s="3"/>
      <c r="G41" s="11">
        <f t="shared" si="93"/>
        <v>0.2</v>
      </c>
      <c r="H41" s="16">
        <f t="shared" si="100"/>
        <v>0</v>
      </c>
      <c r="I41" s="16">
        <f t="shared" si="101"/>
        <v>10.875305777905474</v>
      </c>
      <c r="J41" s="16">
        <f t="shared" si="101"/>
        <v>9.3773456955407344</v>
      </c>
      <c r="K41" s="16">
        <f t="shared" si="101"/>
        <v>5.9809002357558656</v>
      </c>
      <c r="L41" s="16">
        <f t="shared" si="101"/>
        <v>2.8301749085556747</v>
      </c>
      <c r="M41" s="16">
        <f t="shared" ref="M41" si="139">(M12-M14)/$B$2</f>
        <v>0</v>
      </c>
      <c r="N41" s="16">
        <f t="shared" ref="N41:O41" si="140">(N12-N14)/(2*$B$2)</f>
        <v>1.7343615778030431E-2</v>
      </c>
      <c r="O41" s="16">
        <f t="shared" si="140"/>
        <v>1.9634240013315887E-2</v>
      </c>
      <c r="P41" s="16">
        <f t="shared" ref="P41:S41" si="141">(P12-P14)/(2*$B$2)</f>
        <v>1.3791239401536603E-2</v>
      </c>
      <c r="Q41" s="16">
        <f t="shared" si="141"/>
        <v>1.0889488065941052E-2</v>
      </c>
      <c r="R41" s="16">
        <f t="shared" si="141"/>
        <v>8.5418729750620422E-3</v>
      </c>
      <c r="S41" s="16">
        <f t="shared" si="141"/>
        <v>4.9411547504882346E-3</v>
      </c>
      <c r="T41" s="16">
        <f t="shared" ref="T41" si="142">(T12-T14)/$B$2</f>
        <v>0</v>
      </c>
      <c r="U41" s="16">
        <f t="shared" ref="U41:V41" si="143">(U12-U14)/(2*$B$2)</f>
        <v>1.1205773150576345E-4</v>
      </c>
      <c r="V41" s="16">
        <f t="shared" si="143"/>
        <v>0</v>
      </c>
      <c r="W41" s="6"/>
    </row>
    <row r="42" spans="6:23" x14ac:dyDescent="0.25">
      <c r="F42" s="3"/>
      <c r="G42" s="11">
        <f>G43+B$2</f>
        <v>0.1</v>
      </c>
      <c r="H42" s="16">
        <f t="shared" si="100"/>
        <v>100</v>
      </c>
      <c r="I42" s="16">
        <f t="shared" si="101"/>
        <v>31.734543666599688</v>
      </c>
      <c r="J42" s="16">
        <f t="shared" si="101"/>
        <v>19.070858250970552</v>
      </c>
      <c r="K42" s="16">
        <f t="shared" si="101"/>
        <v>10.67260398756726</v>
      </c>
      <c r="L42" s="16">
        <f t="shared" si="101"/>
        <v>4.7766532114092257</v>
      </c>
      <c r="M42" s="16">
        <f t="shared" si="100"/>
        <v>0</v>
      </c>
      <c r="N42" s="16">
        <f t="shared" ref="N42:O42" si="144">(N13-N15)/(2*$B$2)</f>
        <v>1.1362281437445804E-2</v>
      </c>
      <c r="O42" s="16">
        <f t="shared" si="144"/>
        <v>1.6551159532916675E-2</v>
      </c>
      <c r="P42" s="16">
        <f t="shared" ref="P42:S42" si="145">(P13-P15)/(2*$B$2)</f>
        <v>1.6542846057152855E-2</v>
      </c>
      <c r="Q42" s="16">
        <f t="shared" si="145"/>
        <v>1.4767291015829418E-2</v>
      </c>
      <c r="R42" s="16">
        <f t="shared" si="145"/>
        <v>1.1482491035387943E-2</v>
      </c>
      <c r="S42" s="16">
        <f t="shared" si="145"/>
        <v>6.3854522297181323E-3</v>
      </c>
      <c r="T42" s="16">
        <f t="shared" si="100"/>
        <v>0</v>
      </c>
      <c r="U42" s="16">
        <f t="shared" ref="U42:V42" si="146">(U13-U15)/(2*$B$2)</f>
        <v>3.8228036668109691E-5</v>
      </c>
      <c r="V42" s="16">
        <f t="shared" si="146"/>
        <v>0</v>
      </c>
      <c r="W42" s="6"/>
    </row>
    <row r="43" spans="6:23" x14ac:dyDescent="0.25">
      <c r="F43" s="3"/>
      <c r="G43" s="11">
        <v>0</v>
      </c>
      <c r="H43" s="16">
        <f>(H14-H15)/$B$2</f>
        <v>100</v>
      </c>
      <c r="I43" s="16">
        <f t="shared" ref="I43:V43" si="147">(I14-I15)/$B$2</f>
        <v>46.992005689198891</v>
      </c>
      <c r="J43" s="16">
        <f t="shared" ref="J43:L43" si="148">(J14-J15)/$B$2</f>
        <v>24.498931000379294</v>
      </c>
      <c r="K43" s="16">
        <f t="shared" si="148"/>
        <v>12.861993605400883</v>
      </c>
      <c r="L43" s="16">
        <f t="shared" si="148"/>
        <v>5.6038265912863823</v>
      </c>
      <c r="M43" s="16">
        <f t="shared" si="147"/>
        <v>0</v>
      </c>
      <c r="N43" s="16">
        <f t="shared" si="147"/>
        <v>1.0085360801344671E-2</v>
      </c>
      <c r="O43" s="16">
        <f t="shared" si="147"/>
        <v>1.5927059455181272E-2</v>
      </c>
      <c r="P43" s="16">
        <f t="shared" si="147"/>
        <v>1.7313332028663756E-2</v>
      </c>
      <c r="Q43" s="16">
        <f t="shared" si="147"/>
        <v>1.6003475280065554E-2</v>
      </c>
      <c r="R43" s="16">
        <f t="shared" si="147"/>
        <v>1.2476399138580643E-2</v>
      </c>
      <c r="S43" s="16">
        <f t="shared" si="147"/>
        <v>6.9118354694879041E-3</v>
      </c>
      <c r="T43" s="16">
        <f t="shared" si="147"/>
        <v>0</v>
      </c>
      <c r="U43" s="16">
        <f t="shared" si="147"/>
        <v>2.1925889433432315E-5</v>
      </c>
      <c r="V43" s="16">
        <f t="shared" si="147"/>
        <v>0</v>
      </c>
      <c r="W43" s="6"/>
    </row>
    <row r="44" spans="6:23" x14ac:dyDescent="0.25">
      <c r="F44" s="3"/>
      <c r="G44" s="10"/>
      <c r="H44" s="16">
        <v>0</v>
      </c>
      <c r="I44" s="16">
        <f>H44+$B$2</f>
        <v>0.1</v>
      </c>
      <c r="J44" s="16">
        <f t="shared" ref="J44:V44" si="149">I44+$B$2</f>
        <v>0.2</v>
      </c>
      <c r="K44" s="16">
        <f t="shared" si="149"/>
        <v>0.30000000000000004</v>
      </c>
      <c r="L44" s="16">
        <f t="shared" si="149"/>
        <v>0.4</v>
      </c>
      <c r="M44" s="16">
        <f t="shared" si="149"/>
        <v>0.5</v>
      </c>
      <c r="N44" s="16">
        <f t="shared" si="149"/>
        <v>0.6</v>
      </c>
      <c r="O44" s="16">
        <f t="shared" si="149"/>
        <v>0.7</v>
      </c>
      <c r="P44" s="16">
        <f t="shared" si="149"/>
        <v>0.79999999999999993</v>
      </c>
      <c r="Q44" s="16">
        <f t="shared" si="149"/>
        <v>0.89999999999999991</v>
      </c>
      <c r="R44" s="16">
        <f t="shared" si="149"/>
        <v>0.99999999999999989</v>
      </c>
      <c r="S44" s="16">
        <f t="shared" si="149"/>
        <v>1.0999999999999999</v>
      </c>
      <c r="T44" s="16">
        <f t="shared" si="149"/>
        <v>1.2</v>
      </c>
      <c r="U44" s="16">
        <f t="shared" si="149"/>
        <v>1.3</v>
      </c>
      <c r="V44" s="16">
        <f t="shared" si="149"/>
        <v>1.4000000000000001</v>
      </c>
      <c r="W44" s="6"/>
    </row>
    <row r="45" spans="6:23" x14ac:dyDescent="0.25">
      <c r="F45" s="3"/>
      <c r="G45" s="20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</row>
    <row r="46" spans="6:23" x14ac:dyDescent="0.25">
      <c r="F46" s="3" t="s">
        <v>11</v>
      </c>
      <c r="G46" s="10"/>
      <c r="H46" s="24">
        <v>1</v>
      </c>
      <c r="I46" s="24">
        <v>2</v>
      </c>
      <c r="J46" s="24">
        <v>3</v>
      </c>
      <c r="K46" s="24">
        <v>4</v>
      </c>
      <c r="L46" s="24">
        <v>5</v>
      </c>
      <c r="M46" s="24">
        <v>6</v>
      </c>
      <c r="N46" s="24">
        <v>7</v>
      </c>
      <c r="O46" s="24">
        <v>8</v>
      </c>
      <c r="P46" s="24">
        <v>9</v>
      </c>
      <c r="Q46" s="24">
        <v>10</v>
      </c>
      <c r="R46" s="24">
        <v>11</v>
      </c>
      <c r="S46" s="24">
        <v>12</v>
      </c>
      <c r="T46" s="24">
        <v>13</v>
      </c>
      <c r="U46" s="24">
        <v>14</v>
      </c>
      <c r="V46" s="24">
        <v>15</v>
      </c>
    </row>
    <row r="47" spans="6:23" x14ac:dyDescent="0.25">
      <c r="F47" s="3"/>
      <c r="G47" s="11">
        <f t="shared" ref="G47:G55" si="150">G48+B$2</f>
        <v>0.99999999999999989</v>
      </c>
      <c r="H47" s="17">
        <f t="shared" ref="H47:U51" si="151">(H5-I5)/$B$2</f>
        <v>0</v>
      </c>
      <c r="I47" s="17">
        <f t="shared" si="151"/>
        <v>0</v>
      </c>
      <c r="J47" s="17">
        <f t="shared" si="151"/>
        <v>0</v>
      </c>
      <c r="K47" s="17">
        <f t="shared" si="151"/>
        <v>0</v>
      </c>
      <c r="L47" s="17">
        <f t="shared" si="151"/>
        <v>0</v>
      </c>
      <c r="M47" s="17">
        <f t="shared" si="151"/>
        <v>0</v>
      </c>
      <c r="N47" s="17">
        <f t="shared" si="151"/>
        <v>0</v>
      </c>
      <c r="O47" s="17">
        <f t="shared" si="151"/>
        <v>0</v>
      </c>
      <c r="P47" s="17">
        <f t="shared" si="151"/>
        <v>0</v>
      </c>
      <c r="Q47" s="17">
        <f t="shared" si="151"/>
        <v>0</v>
      </c>
      <c r="R47" s="17">
        <f t="shared" si="151"/>
        <v>0</v>
      </c>
      <c r="S47" s="17">
        <f t="shared" si="151"/>
        <v>0</v>
      </c>
      <c r="T47" s="17">
        <f t="shared" si="151"/>
        <v>0</v>
      </c>
      <c r="U47" s="17">
        <f t="shared" si="151"/>
        <v>0</v>
      </c>
      <c r="V47" s="17">
        <f t="shared" ref="V47:V56" si="152">(U5-V5)/$B$2</f>
        <v>0</v>
      </c>
    </row>
    <row r="48" spans="6:23" x14ac:dyDescent="0.25">
      <c r="F48" s="3"/>
      <c r="G48" s="11">
        <f t="shared" si="150"/>
        <v>0.89999999999999991</v>
      </c>
      <c r="H48" s="17">
        <f>(H6-I6)/($B$2)</f>
        <v>63.335205594511734</v>
      </c>
      <c r="I48" s="17">
        <f>(I6-J6)/(2*$B$2)</f>
        <v>18.332397202744133</v>
      </c>
      <c r="J48" s="17">
        <f t="shared" si="151"/>
        <v>-0.3609102119109765</v>
      </c>
      <c r="K48" s="17">
        <f t="shared" ref="K48:L48" si="153">(K6-L6)/(2*$B$2)</f>
        <v>-6.1742977727682544E-2</v>
      </c>
      <c r="L48" s="17">
        <f t="shared" si="153"/>
        <v>3.7672153659396856E-2</v>
      </c>
      <c r="M48" s="17">
        <f t="shared" ref="M48:O48" si="154">(M6-N6)/(2*$B$2)</f>
        <v>6.9683368715248606E-2</v>
      </c>
      <c r="N48" s="17">
        <f t="shared" si="154"/>
        <v>6.9895869270538771E-2</v>
      </c>
      <c r="O48" s="17">
        <f t="shared" si="154"/>
        <v>6.4946692037986559E-2</v>
      </c>
      <c r="P48" s="17">
        <f t="shared" ref="P48" si="155">(P6-Q6)/$B$2</f>
        <v>-6.5293922177577261E-3</v>
      </c>
      <c r="Q48" s="17">
        <f t="shared" ref="Q48:S48" si="156">(Q6-R6)/(2*$B$2)</f>
        <v>-2.1989692362668154E-3</v>
      </c>
      <c r="R48" s="17">
        <f t="shared" si="156"/>
        <v>-5.7955376417317072E-4</v>
      </c>
      <c r="S48" s="17">
        <f t="shared" si="156"/>
        <v>1.0599505475066516E-3</v>
      </c>
      <c r="T48" s="17">
        <f t="shared" ref="T48:U48" si="157">(T6-U6)/(2*$B$2)</f>
        <v>2.1882155602851853E-3</v>
      </c>
      <c r="U48" s="17">
        <f t="shared" si="157"/>
        <v>2.7950530015270121E-3</v>
      </c>
      <c r="V48" s="17">
        <f t="shared" si="152"/>
        <v>5.5901060030540241E-3</v>
      </c>
    </row>
    <row r="49" spans="6:22" x14ac:dyDescent="0.25">
      <c r="F49" s="3"/>
      <c r="G49" s="11">
        <f t="shared" si="150"/>
        <v>0.79999999999999993</v>
      </c>
      <c r="H49" s="17">
        <f t="shared" ref="H49:H56" si="158">(H7-I7)/($B$2)</f>
        <v>53.340822482004761</v>
      </c>
      <c r="I49" s="17">
        <f t="shared" ref="I49:L56" si="159">(I7-J7)/(2*$B$2)</f>
        <v>23.329588758997616</v>
      </c>
      <c r="J49" s="17">
        <f t="shared" si="151"/>
        <v>-0.95916314206564657</v>
      </c>
      <c r="K49" s="17">
        <f t="shared" ref="K49:L49" si="160">(K7-L7)/(2*$B$2)</f>
        <v>-0.1041502227962568</v>
      </c>
      <c r="L49" s="17">
        <f t="shared" si="160"/>
        <v>0.14277485560952971</v>
      </c>
      <c r="M49" s="17">
        <f t="shared" ref="M49:O49" si="161">(M7-N7)/(2*$B$2)</f>
        <v>0.17117107882346652</v>
      </c>
      <c r="N49" s="17">
        <f t="shared" si="161"/>
        <v>0.14491549210177262</v>
      </c>
      <c r="O49" s="17">
        <f t="shared" si="161"/>
        <v>0.12487036729431121</v>
      </c>
      <c r="P49" s="17">
        <f t="shared" ref="P49" si="162">(P7-Q7)/$B$2</f>
        <v>-1.192843388428275E-2</v>
      </c>
      <c r="Q49" s="17">
        <f t="shared" ref="Q49:S49" si="163">(Q7-R7)/(2*$B$2)</f>
        <v>-3.9209486619257439E-3</v>
      </c>
      <c r="R49" s="17">
        <f t="shared" si="163"/>
        <v>-7.8681278318117618E-4</v>
      </c>
      <c r="S49" s="17">
        <f t="shared" si="163"/>
        <v>2.0339232895143049E-3</v>
      </c>
      <c r="T49" s="17">
        <f t="shared" ref="T49:U49" si="164">(T7-U7)/(2*$B$2)</f>
        <v>3.868232309582666E-3</v>
      </c>
      <c r="U49" s="17">
        <f t="shared" si="164"/>
        <v>4.7698227881513245E-3</v>
      </c>
      <c r="V49" s="17">
        <f t="shared" si="152"/>
        <v>9.5396455763026491E-3</v>
      </c>
    </row>
    <row r="50" spans="6:22" x14ac:dyDescent="0.25">
      <c r="F50" s="3"/>
      <c r="G50" s="11">
        <f t="shared" si="150"/>
        <v>0.7</v>
      </c>
      <c r="H50" s="17">
        <f t="shared" si="158"/>
        <v>50.028084751748295</v>
      </c>
      <c r="I50" s="17">
        <f t="shared" si="159"/>
        <v>24.985957624125849</v>
      </c>
      <c r="J50" s="17">
        <f t="shared" si="151"/>
        <v>-2.3081278226330162</v>
      </c>
      <c r="K50" s="17">
        <f t="shared" ref="K50:L50" si="165">(K8-L8)/(2*$B$2)</f>
        <v>-1.7981263994430313E-2</v>
      </c>
      <c r="L50" s="17">
        <f t="shared" si="165"/>
        <v>0.46646841672296019</v>
      </c>
      <c r="M50" s="17">
        <f t="shared" ref="M50:O50" si="166">(M8-N8)/(2*$B$2)</f>
        <v>0.32733309243432995</v>
      </c>
      <c r="N50" s="17">
        <f t="shared" si="166"/>
        <v>0.21365718239182463</v>
      </c>
      <c r="O50" s="17">
        <f t="shared" si="166"/>
        <v>0.16458648376182375</v>
      </c>
      <c r="P50" s="17">
        <f t="shared" ref="P50" si="167">(P8-Q8)/$B$2</f>
        <v>-1.5721756116730396E-2</v>
      </c>
      <c r="Q50" s="17">
        <f t="shared" ref="Q50:S50" si="168">(Q8-R8)/(2*$B$2)</f>
        <v>-4.6811446936727685E-3</v>
      </c>
      <c r="R50" s="17">
        <f t="shared" si="168"/>
        <v>-3.9813555091517327E-4</v>
      </c>
      <c r="S50" s="17">
        <f t="shared" si="168"/>
        <v>3.1753960204128199E-3</v>
      </c>
      <c r="T50" s="17">
        <f t="shared" ref="T50:U50" si="169">(T8-U8)/(2*$B$2)</f>
        <v>4.4681783943178984E-3</v>
      </c>
      <c r="U50" s="17">
        <f t="shared" si="169"/>
        <v>5.2965838882224206E-3</v>
      </c>
      <c r="V50" s="17">
        <f t="shared" si="152"/>
        <v>1.0593167776444841E-2</v>
      </c>
    </row>
    <row r="51" spans="6:22" x14ac:dyDescent="0.25">
      <c r="F51" s="3"/>
      <c r="G51" s="11">
        <f t="shared" si="150"/>
        <v>0.6</v>
      </c>
      <c r="H51" s="17">
        <f t="shared" si="158"/>
        <v>46.771517974661414</v>
      </c>
      <c r="I51" s="17">
        <f t="shared" si="159"/>
        <v>26.614241012669293</v>
      </c>
      <c r="J51" s="17">
        <f t="shared" si="151"/>
        <v>-5.9290749910305518</v>
      </c>
      <c r="K51" s="17">
        <f t="shared" ref="K51:L51" si="170">(K9-L9)/(2*$B$2)</f>
        <v>0.71991444771895452</v>
      </c>
      <c r="L51" s="17">
        <f t="shared" si="170"/>
        <v>1.4138411414258889</v>
      </c>
      <c r="M51" s="17">
        <f t="shared" ref="M51" si="171">(M9-N9)/$B$2</f>
        <v>0.91625217128451342</v>
      </c>
      <c r="N51" s="17">
        <f t="shared" ref="N51:O51" si="172">(N9-O9)/(2*$B$2)</f>
        <v>0.21771446305640835</v>
      </c>
      <c r="O51" s="17">
        <f t="shared" si="172"/>
        <v>0.15494135767176753</v>
      </c>
      <c r="P51" s="17">
        <f t="shared" ref="P51" si="173">(P9-Q9)/$B$2</f>
        <v>-1.8429116208314958E-2</v>
      </c>
      <c r="Q51" s="17">
        <f t="shared" ref="Q51:S51" si="174">(Q9-R9)/(2*$B$2)</f>
        <v>-4.3975196907855849E-3</v>
      </c>
      <c r="R51" s="17">
        <f t="shared" si="174"/>
        <v>1.1730753695475419E-3</v>
      </c>
      <c r="S51" s="17">
        <f t="shared" si="174"/>
        <v>4.9807463521303521E-3</v>
      </c>
      <c r="T51" s="17">
        <f t="shared" ref="T51" si="175">(T9-U9)/$B$2</f>
        <v>6.9499260238457773E-3</v>
      </c>
      <c r="U51" s="17">
        <f t="shared" ref="U51" si="176">(U9-V9)/(2*$B$2)</f>
        <v>3.9832930613422817E-3</v>
      </c>
      <c r="V51" s="17">
        <f t="shared" si="152"/>
        <v>7.9665861226845634E-3</v>
      </c>
    </row>
    <row r="52" spans="6:22" x14ac:dyDescent="0.25">
      <c r="F52" s="3"/>
      <c r="G52" s="11">
        <f t="shared" si="150"/>
        <v>0.5</v>
      </c>
      <c r="H52" s="17">
        <f t="shared" si="158"/>
        <v>37.057992482048057</v>
      </c>
      <c r="I52" s="17">
        <f t="shared" si="159"/>
        <v>16.325110956289386</v>
      </c>
      <c r="J52" s="17">
        <f>(J10-K10)/$B$2</f>
        <v>13.373028130089567</v>
      </c>
      <c r="K52" s="17">
        <f t="shared" ref="K52:L52" si="177">(K10-L10)/(2*$B$2)</f>
        <v>4.4484145753196502</v>
      </c>
      <c r="L52" s="17">
        <f t="shared" si="177"/>
        <v>4.0109641623221499</v>
      </c>
      <c r="M52" s="17">
        <f t="shared" ref="M52" si="178">(M10-N10)/$B$2</f>
        <v>-0.25220959568007201</v>
      </c>
      <c r="N52" s="17">
        <f t="shared" ref="N52:O52" si="179">(N10-O10)/(2*$B$2)</f>
        <v>4.4106805664120403E-2</v>
      </c>
      <c r="O52" s="17">
        <f t="shared" si="179"/>
        <v>8.1997992175915593E-2</v>
      </c>
      <c r="P52" s="17">
        <f t="shared" ref="P52" si="180">(P10-Q10)/$B$2</f>
        <v>-2.293296518994235E-2</v>
      </c>
      <c r="Q52" s="17">
        <f t="shared" ref="Q52:S52" si="181">(Q10-R10)/(2*$B$2)</f>
        <v>-2.5980305532435151E-3</v>
      </c>
      <c r="R52" s="17">
        <f t="shared" si="181"/>
        <v>4.0088805155148646E-3</v>
      </c>
      <c r="S52" s="17">
        <f t="shared" si="181"/>
        <v>1.0055632632699825E-2</v>
      </c>
      <c r="T52" s="17">
        <f t="shared" ref="T52" si="182">(T10-U10)/$B$2</f>
        <v>-2.5012499940120963E-3</v>
      </c>
      <c r="U52" s="17">
        <f t="shared" ref="U52" si="183">(U10-V10)/(2*$B$2)</f>
        <v>1.2506249970060481E-3</v>
      </c>
      <c r="V52" s="17">
        <f t="shared" si="152"/>
        <v>2.5012499940120963E-3</v>
      </c>
    </row>
    <row r="53" spans="6:22" x14ac:dyDescent="0.25">
      <c r="F53" s="3"/>
      <c r="G53" s="11">
        <f t="shared" si="150"/>
        <v>0.4</v>
      </c>
      <c r="H53" s="17">
        <f t="shared" si="158"/>
        <v>31.752255876693212</v>
      </c>
      <c r="I53" s="17">
        <f t="shared" si="159"/>
        <v>13.470706377610838</v>
      </c>
      <c r="J53" s="17">
        <f t="shared" si="159"/>
        <v>8.9371000330792114</v>
      </c>
      <c r="K53" s="17">
        <f t="shared" si="159"/>
        <v>6.3762785058381963</v>
      </c>
      <c r="L53" s="17">
        <f t="shared" si="159"/>
        <v>5.3397871451251442</v>
      </c>
      <c r="M53" s="17">
        <f t="shared" ref="M53" si="184">(M11-N11)/$B$2</f>
        <v>-9.7876690858536786E-2</v>
      </c>
      <c r="N53" s="17">
        <f t="shared" ref="N53:O53" si="185">(N11-O11)/(2*$B$2)</f>
        <v>3.0631557449890129E-3</v>
      </c>
      <c r="O53" s="17">
        <f t="shared" si="185"/>
        <v>2.336829511682334E-2</v>
      </c>
      <c r="P53" s="17">
        <f t="shared" ref="P53" si="186">(P11-Q11)/$B$2</f>
        <v>8.2982348475499814E-3</v>
      </c>
      <c r="Q53" s="17">
        <f t="shared" ref="Q53:S53" si="187">(Q11-R11)/(2*$B$2)</f>
        <v>2.8386101614819611E-3</v>
      </c>
      <c r="R53" s="17">
        <f t="shared" si="187"/>
        <v>6.1366570040246645E-3</v>
      </c>
      <c r="S53" s="17">
        <f t="shared" si="187"/>
        <v>9.3825099781744241E-3</v>
      </c>
      <c r="T53" s="17">
        <f t="shared" ref="T53" si="188">(T11-U11)/$B$2</f>
        <v>-7.8269819167714157E-4</v>
      </c>
      <c r="U53" s="17">
        <f t="shared" ref="U53" si="189">(U11-V11)/(2*$B$2)</f>
        <v>3.9134909583857079E-4</v>
      </c>
      <c r="V53" s="17">
        <f t="shared" si="152"/>
        <v>7.8269819167714157E-4</v>
      </c>
    </row>
    <row r="54" spans="6:22" x14ac:dyDescent="0.25">
      <c r="F54" s="3"/>
      <c r="G54" s="11">
        <f t="shared" si="150"/>
        <v>0.30000000000000004</v>
      </c>
      <c r="H54" s="17">
        <f t="shared" si="158"/>
        <v>31.257382754990157</v>
      </c>
      <c r="I54" s="17">
        <f t="shared" si="159"/>
        <v>12.744497426774538</v>
      </c>
      <c r="J54" s="17">
        <f t="shared" si="159"/>
        <v>9.2149141572740731</v>
      </c>
      <c r="K54" s="17">
        <f t="shared" si="159"/>
        <v>6.779808834257441</v>
      </c>
      <c r="L54" s="17">
        <f t="shared" si="159"/>
        <v>5.6320882041988662</v>
      </c>
      <c r="M54" s="17">
        <f t="shared" ref="M54" si="190">(M12-N12)/$B$2</f>
        <v>-4.4772592357405536E-2</v>
      </c>
      <c r="N54" s="17">
        <f t="shared" ref="N54:O54" si="191">(N12-O12)/(2*$B$2)</f>
        <v>-5.211473562203757E-3</v>
      </c>
      <c r="O54" s="17">
        <f t="shared" si="191"/>
        <v>5.149864325038043E-3</v>
      </c>
      <c r="P54" s="17">
        <f t="shared" ref="P54:S54" si="192">(P12-Q12)/(2*$B$2)</f>
        <v>3.5566797098946531E-3</v>
      </c>
      <c r="Q54" s="17">
        <f t="shared" si="192"/>
        <v>4.1111531616214647E-3</v>
      </c>
      <c r="R54" s="17">
        <f t="shared" si="192"/>
        <v>6.3830000591201773E-3</v>
      </c>
      <c r="S54" s="17">
        <f t="shared" si="192"/>
        <v>8.3970724852321862E-3</v>
      </c>
      <c r="T54" s="17">
        <f t="shared" ref="T54" si="193">(T12-U12)/$B$2</f>
        <v>-2.4604135244495924E-4</v>
      </c>
      <c r="U54" s="17">
        <f t="shared" ref="U54" si="194">(U12-V12)/(2*$B$2)</f>
        <v>1.2302067622247962E-4</v>
      </c>
      <c r="V54" s="17">
        <f t="shared" si="152"/>
        <v>2.4604135244495924E-4</v>
      </c>
    </row>
    <row r="55" spans="6:22" x14ac:dyDescent="0.25">
      <c r="F55" s="3"/>
      <c r="G55" s="11">
        <f t="shared" si="150"/>
        <v>0.2</v>
      </c>
      <c r="H55" s="17">
        <f t="shared" si="158"/>
        <v>36.530912666800617</v>
      </c>
      <c r="I55" s="17">
        <f t="shared" si="159"/>
        <v>12.663685415629137</v>
      </c>
      <c r="J55" s="17">
        <f t="shared" si="159"/>
        <v>8.39825426340329</v>
      </c>
      <c r="K55" s="17">
        <f t="shared" si="159"/>
        <v>5.8959507761580365</v>
      </c>
      <c r="L55" s="17">
        <f t="shared" si="159"/>
        <v>4.7766532114092257</v>
      </c>
      <c r="M55" s="17">
        <f t="shared" ref="M55" si="195">(M13-N13)/$B$2</f>
        <v>-2.2724562874891607E-2</v>
      </c>
      <c r="N55" s="17">
        <f t="shared" ref="N55:O55" si="196">(N13-O13)/(2*$B$2)</f>
        <v>-5.1888780954708735E-3</v>
      </c>
      <c r="O55" s="17">
        <f t="shared" si="196"/>
        <v>8.3134757638213784E-6</v>
      </c>
      <c r="P55" s="17">
        <f t="shared" ref="P55:S55" si="197">(P13-Q13)/(2*$B$2)</f>
        <v>1.7755550413234376E-3</v>
      </c>
      <c r="Q55" s="17">
        <f t="shared" si="197"/>
        <v>3.2847999804414755E-3</v>
      </c>
      <c r="R55" s="17">
        <f t="shared" si="197"/>
        <v>5.0970388056698112E-3</v>
      </c>
      <c r="S55" s="17">
        <f t="shared" si="197"/>
        <v>6.3854522297181323E-3</v>
      </c>
      <c r="T55" s="17">
        <f t="shared" ref="T55" si="198">(T13-U13)/$B$2</f>
        <v>-7.6456073336219382E-5</v>
      </c>
      <c r="U55" s="17">
        <f t="shared" ref="U55" si="199">(U13-V13)/(2*$B$2)</f>
        <v>3.8228036668109691E-5</v>
      </c>
      <c r="V55" s="17">
        <f t="shared" si="152"/>
        <v>7.6456073336219382E-5</v>
      </c>
    </row>
    <row r="56" spans="6:22" x14ac:dyDescent="0.25">
      <c r="F56" s="3"/>
      <c r="G56" s="11">
        <f>G57+B$2</f>
        <v>0.1</v>
      </c>
      <c r="H56" s="17">
        <f t="shared" si="158"/>
        <v>53.007994310801102</v>
      </c>
      <c r="I56" s="17">
        <f t="shared" si="159"/>
        <v>11.246537344409798</v>
      </c>
      <c r="J56" s="17">
        <f t="shared" si="159"/>
        <v>5.8184686974892053</v>
      </c>
      <c r="K56" s="17">
        <f t="shared" si="159"/>
        <v>3.62908350705725</v>
      </c>
      <c r="L56" s="17">
        <f t="shared" si="159"/>
        <v>2.8019132956431911</v>
      </c>
      <c r="M56" s="17">
        <f t="shared" ref="M56" si="200">(M14-N14)/$B$2</f>
        <v>-1.0085360801344671E-2</v>
      </c>
      <c r="N56" s="17">
        <f t="shared" ref="N56:O56" si="201">(N14-O14)/(2*$B$2)</f>
        <v>-2.9208493269183007E-3</v>
      </c>
      <c r="O56" s="17">
        <f t="shared" si="201"/>
        <v>-6.9313628674124252E-4</v>
      </c>
      <c r="P56" s="17">
        <f t="shared" ref="P56:S56" si="202">(P14-Q14)/(2*$B$2)</f>
        <v>6.549283742991025E-4</v>
      </c>
      <c r="Q56" s="17">
        <f t="shared" si="202"/>
        <v>1.7635380707424551E-3</v>
      </c>
      <c r="R56" s="17">
        <f t="shared" si="202"/>
        <v>2.7822818345463692E-3</v>
      </c>
      <c r="S56" s="17">
        <f t="shared" si="202"/>
        <v>3.4559177347439521E-3</v>
      </c>
      <c r="T56" s="17">
        <f t="shared" ref="T56" si="203">(T14-U14)/$B$2</f>
        <v>-2.1925889433432315E-5</v>
      </c>
      <c r="U56" s="17">
        <f t="shared" ref="U56" si="204">(U14-V14)/(2*$B$2)</f>
        <v>1.0962944716716158E-5</v>
      </c>
      <c r="V56" s="17">
        <f t="shared" si="152"/>
        <v>2.1925889433432315E-5</v>
      </c>
    </row>
    <row r="57" spans="6:22" x14ac:dyDescent="0.25">
      <c r="F57" s="3"/>
      <c r="G57" s="11">
        <v>0</v>
      </c>
      <c r="H57" s="17">
        <f>(H15-I15)/$B$2</f>
        <v>0</v>
      </c>
      <c r="I57" s="17">
        <f t="shared" ref="I57:U57" si="205">(I15-J15)/$B$2</f>
        <v>0</v>
      </c>
      <c r="J57" s="17">
        <f t="shared" si="205"/>
        <v>0</v>
      </c>
      <c r="K57" s="17">
        <f t="shared" si="205"/>
        <v>0</v>
      </c>
      <c r="L57" s="17">
        <f t="shared" si="205"/>
        <v>0</v>
      </c>
      <c r="M57" s="17">
        <f t="shared" si="205"/>
        <v>0</v>
      </c>
      <c r="N57" s="17">
        <f t="shared" si="205"/>
        <v>0</v>
      </c>
      <c r="O57" s="17">
        <f t="shared" si="205"/>
        <v>0</v>
      </c>
      <c r="P57" s="17">
        <f t="shared" si="205"/>
        <v>0</v>
      </c>
      <c r="Q57" s="17">
        <f t="shared" si="205"/>
        <v>0</v>
      </c>
      <c r="R57" s="17">
        <f t="shared" si="205"/>
        <v>0</v>
      </c>
      <c r="S57" s="17">
        <f t="shared" si="205"/>
        <v>0</v>
      </c>
      <c r="T57" s="17">
        <f t="shared" si="205"/>
        <v>0</v>
      </c>
      <c r="U57" s="17">
        <f t="shared" si="205"/>
        <v>0</v>
      </c>
      <c r="V57" s="17">
        <f>(U15-V15)/$B$2</f>
        <v>0</v>
      </c>
    </row>
    <row r="58" spans="6:22" x14ac:dyDescent="0.25">
      <c r="F58" s="3"/>
      <c r="G58" s="10"/>
      <c r="H58" s="11">
        <v>0</v>
      </c>
      <c r="I58" s="11">
        <f>H58+$B$2</f>
        <v>0.1</v>
      </c>
      <c r="J58" s="11">
        <f t="shared" ref="J58:V58" si="206">I58+$B$2</f>
        <v>0.2</v>
      </c>
      <c r="K58" s="11">
        <f t="shared" si="206"/>
        <v>0.30000000000000004</v>
      </c>
      <c r="L58" s="11">
        <f t="shared" si="206"/>
        <v>0.4</v>
      </c>
      <c r="M58" s="11">
        <f t="shared" si="206"/>
        <v>0.5</v>
      </c>
      <c r="N58" s="11">
        <f t="shared" si="206"/>
        <v>0.6</v>
      </c>
      <c r="O58" s="14">
        <f t="shared" si="206"/>
        <v>0.7</v>
      </c>
      <c r="P58" s="11">
        <f t="shared" si="206"/>
        <v>0.79999999999999993</v>
      </c>
      <c r="Q58" s="11">
        <f t="shared" si="206"/>
        <v>0.89999999999999991</v>
      </c>
      <c r="R58" s="11">
        <f t="shared" si="206"/>
        <v>0.99999999999999989</v>
      </c>
      <c r="S58" s="11">
        <f t="shared" si="206"/>
        <v>1.0999999999999999</v>
      </c>
      <c r="T58" s="11">
        <f t="shared" si="206"/>
        <v>1.2</v>
      </c>
      <c r="U58" s="11">
        <f t="shared" si="206"/>
        <v>1.3</v>
      </c>
      <c r="V58" s="11">
        <f t="shared" si="206"/>
        <v>1.4000000000000001</v>
      </c>
    </row>
    <row r="59" spans="6:22" x14ac:dyDescent="0.25">
      <c r="F59" s="3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</row>
    <row r="60" spans="6:22" x14ac:dyDescent="0.25">
      <c r="F60" s="3"/>
      <c r="G60" s="10"/>
      <c r="H60" s="11">
        <v>1</v>
      </c>
      <c r="I60" s="11">
        <v>2</v>
      </c>
      <c r="J60" s="11">
        <v>3</v>
      </c>
      <c r="K60" s="11">
        <v>4</v>
      </c>
      <c r="L60" s="11">
        <v>5</v>
      </c>
      <c r="M60" s="11">
        <v>6</v>
      </c>
      <c r="N60" s="11">
        <v>7</v>
      </c>
      <c r="O60" s="11">
        <v>8</v>
      </c>
      <c r="P60" s="11">
        <v>9</v>
      </c>
      <c r="Q60" s="11">
        <v>10</v>
      </c>
      <c r="R60" s="11">
        <v>11</v>
      </c>
      <c r="S60" s="11">
        <v>12</v>
      </c>
      <c r="T60" s="11">
        <v>13</v>
      </c>
      <c r="U60" s="11">
        <v>14</v>
      </c>
      <c r="V60" s="11">
        <v>15</v>
      </c>
    </row>
    <row r="61" spans="6:22" x14ac:dyDescent="0.25">
      <c r="F61" s="3"/>
      <c r="G61" s="11">
        <f t="shared" ref="G61:G69" si="207">G62+B$2</f>
        <v>0.99999999999999989</v>
      </c>
      <c r="H61" s="12">
        <f>(H33^2+H47^2)^0.5</f>
        <v>100</v>
      </c>
      <c r="I61" s="12">
        <f t="shared" ref="I61:V61" si="208">(I33^2+I47^2)^0.5</f>
        <v>36.664794405488266</v>
      </c>
      <c r="J61" s="12">
        <f t="shared" si="208"/>
        <v>0</v>
      </c>
      <c r="K61" s="12">
        <f t="shared" si="208"/>
        <v>0.3609102119109765</v>
      </c>
      <c r="L61" s="12">
        <f t="shared" si="208"/>
        <v>0.48439616736634161</v>
      </c>
      <c r="M61" s="12">
        <f t="shared" si="208"/>
        <v>0.4090518600475479</v>
      </c>
      <c r="N61" s="12">
        <f t="shared" si="208"/>
        <v>0.26968512261705063</v>
      </c>
      <c r="O61" s="12">
        <f t="shared" si="208"/>
        <v>0.12989338407597312</v>
      </c>
      <c r="P61" s="12">
        <f t="shared" si="208"/>
        <v>0</v>
      </c>
      <c r="Q61" s="12">
        <f t="shared" si="208"/>
        <v>6.5293922177577261E-3</v>
      </c>
      <c r="R61" s="12">
        <f t="shared" si="208"/>
        <v>1.0927330690291356E-2</v>
      </c>
      <c r="S61" s="12">
        <f t="shared" si="208"/>
        <v>1.2086438218637698E-2</v>
      </c>
      <c r="T61" s="12">
        <f t="shared" si="208"/>
        <v>9.9665371236243947E-3</v>
      </c>
      <c r="U61" s="12">
        <f t="shared" si="208"/>
        <v>5.5901060030540241E-3</v>
      </c>
      <c r="V61" s="12">
        <f t="shared" si="208"/>
        <v>0</v>
      </c>
    </row>
    <row r="62" spans="6:22" x14ac:dyDescent="0.25">
      <c r="F62" s="3"/>
      <c r="G62" s="11">
        <f t="shared" si="207"/>
        <v>0.89999999999999991</v>
      </c>
      <c r="H62" s="12">
        <f t="shared" ref="H62:V62" si="209">(H34^2+H48^2)^0.5</f>
        <v>118.36954113157266</v>
      </c>
      <c r="I62" s="12">
        <f t="shared" si="209"/>
        <v>29.670633610745977</v>
      </c>
      <c r="J62" s="12">
        <f t="shared" si="209"/>
        <v>0.3609102119109765</v>
      </c>
      <c r="K62" s="12">
        <f t="shared" si="209"/>
        <v>0.48353973835972575</v>
      </c>
      <c r="L62" s="12">
        <f t="shared" si="209"/>
        <v>0.58494614990463245</v>
      </c>
      <c r="M62" s="12">
        <f t="shared" si="209"/>
        <v>0.44642893414233986</v>
      </c>
      <c r="N62" s="12">
        <f t="shared" si="209"/>
        <v>0.27869309727936881</v>
      </c>
      <c r="O62" s="12">
        <f t="shared" si="209"/>
        <v>0.14075042250342715</v>
      </c>
      <c r="P62" s="12">
        <f t="shared" si="209"/>
        <v>6.5293922177577261E-3</v>
      </c>
      <c r="Q62" s="12">
        <f t="shared" si="209"/>
        <v>6.3566775468773054E-3</v>
      </c>
      <c r="R62" s="12">
        <f t="shared" si="209"/>
        <v>9.9021402527634875E-3</v>
      </c>
      <c r="S62" s="12">
        <f t="shared" si="209"/>
        <v>1.0724486834392328E-2</v>
      </c>
      <c r="T62" s="12">
        <f t="shared" si="209"/>
        <v>8.9109081024193251E-3</v>
      </c>
      <c r="U62" s="12">
        <f t="shared" si="209"/>
        <v>5.5284293168776999E-3</v>
      </c>
      <c r="V62" s="12">
        <f t="shared" si="209"/>
        <v>5.5901060030540241E-3</v>
      </c>
    </row>
    <row r="63" spans="6:22" x14ac:dyDescent="0.25">
      <c r="F63" s="3"/>
      <c r="G63" s="11">
        <f t="shared" si="207"/>
        <v>0.79999999999999993</v>
      </c>
      <c r="H63" s="12">
        <f t="shared" ref="H63:V63" si="210">(H35^2+H49^2)^0.5</f>
        <v>53.340822482004761</v>
      </c>
      <c r="I63" s="12">
        <f t="shared" si="210"/>
        <v>24.259834664418573</v>
      </c>
      <c r="J63" s="12">
        <f>(J35^2+J49^2)^0.5</f>
        <v>0.95916314206564657</v>
      </c>
      <c r="K63" s="12">
        <f t="shared" si="210"/>
        <v>0.97916360981453077</v>
      </c>
      <c r="L63" s="12">
        <f t="shared" si="210"/>
        <v>0.94074453131705227</v>
      </c>
      <c r="M63" s="12">
        <f t="shared" si="210"/>
        <v>0.52948226696506573</v>
      </c>
      <c r="N63" s="12">
        <f t="shared" si="210"/>
        <v>0.28327477418740538</v>
      </c>
      <c r="O63" s="12">
        <f t="shared" si="210"/>
        <v>0.15975198503613605</v>
      </c>
      <c r="P63" s="12">
        <f t="shared" si="210"/>
        <v>1.192843388428275E-2</v>
      </c>
      <c r="Q63" s="12">
        <f t="shared" si="210"/>
        <v>6.04141762521358E-3</v>
      </c>
      <c r="R63" s="12">
        <f t="shared" si="210"/>
        <v>7.1219532387880938E-3</v>
      </c>
      <c r="S63" s="12">
        <f t="shared" si="210"/>
        <v>7.1905920610418105E-3</v>
      </c>
      <c r="T63" s="12">
        <f t="shared" si="210"/>
        <v>6.1502766931465528E-3</v>
      </c>
      <c r="U63" s="12">
        <f t="shared" si="210"/>
        <v>5.385987950920313E-3</v>
      </c>
      <c r="V63" s="12">
        <f t="shared" si="210"/>
        <v>9.5396455763026491E-3</v>
      </c>
    </row>
    <row r="64" spans="6:22" x14ac:dyDescent="0.25">
      <c r="F64" s="3"/>
      <c r="G64" s="11">
        <f t="shared" si="207"/>
        <v>0.7</v>
      </c>
      <c r="H64" s="12">
        <f t="shared" ref="H64:V64" si="211">(H36^2+H50^2)^0.5</f>
        <v>50.028084751748295</v>
      </c>
      <c r="I64" s="12">
        <f t="shared" si="211"/>
        <v>25.200932895870402</v>
      </c>
      <c r="J64" s="12">
        <f t="shared" si="211"/>
        <v>2.3081278226330162</v>
      </c>
      <c r="K64" s="12">
        <f t="shared" si="211"/>
        <v>2.4850209802887537</v>
      </c>
      <c r="L64" s="12">
        <f t="shared" si="211"/>
        <v>1.7251529037464766</v>
      </c>
      <c r="M64" s="12">
        <f t="shared" si="211"/>
        <v>0.5090289374843614</v>
      </c>
      <c r="N64" s="12">
        <f t="shared" si="211"/>
        <v>0.23713207402643685</v>
      </c>
      <c r="O64" s="12">
        <f t="shared" si="211"/>
        <v>0.16731101308450125</v>
      </c>
      <c r="P64" s="12">
        <f t="shared" si="211"/>
        <v>1.5721756116730396E-2</v>
      </c>
      <c r="Q64" s="12">
        <f t="shared" si="211"/>
        <v>5.6989326467854406E-3</v>
      </c>
      <c r="R64" s="12">
        <f t="shared" si="211"/>
        <v>3.7481177136533834E-3</v>
      </c>
      <c r="S64" s="12">
        <f t="shared" si="211"/>
        <v>3.6339391626503195E-3</v>
      </c>
      <c r="T64" s="12">
        <f t="shared" si="211"/>
        <v>4.621314088177393E-3</v>
      </c>
      <c r="U64" s="12">
        <f t="shared" si="211"/>
        <v>5.3546643121797693E-3</v>
      </c>
      <c r="V64" s="12">
        <f t="shared" si="211"/>
        <v>1.0593167776444841E-2</v>
      </c>
    </row>
    <row r="65" spans="6:22" x14ac:dyDescent="0.25">
      <c r="F65" s="3"/>
      <c r="G65" s="11">
        <f t="shared" si="207"/>
        <v>0.6</v>
      </c>
      <c r="H65" s="12">
        <f t="shared" ref="H65:V65" si="212">(H37^2+H51^2)^0.5</f>
        <v>46.771517974661414</v>
      </c>
      <c r="I65" s="12">
        <f t="shared" si="212"/>
        <v>27.392948874693698</v>
      </c>
      <c r="J65" s="12">
        <f t="shared" si="212"/>
        <v>30.866587200582394</v>
      </c>
      <c r="K65" s="12">
        <f t="shared" si="212"/>
        <v>7.3407017051343679</v>
      </c>
      <c r="L65" s="12">
        <f t="shared" si="212"/>
        <v>3.1714992965474904</v>
      </c>
      <c r="M65" s="12">
        <f t="shared" si="212"/>
        <v>1.6825196255680521</v>
      </c>
      <c r="N65" s="12">
        <f t="shared" si="212"/>
        <v>0.33312699731245043</v>
      </c>
      <c r="O65" s="12">
        <f t="shared" si="212"/>
        <v>0.17557814003914671</v>
      </c>
      <c r="P65" s="12">
        <f t="shared" si="212"/>
        <v>1.8429116208314958E-2</v>
      </c>
      <c r="Q65" s="12">
        <f t="shared" si="212"/>
        <v>5.6867005816413916E-3</v>
      </c>
      <c r="R65" s="12">
        <f t="shared" si="212"/>
        <v>1.9219996953926549E-3</v>
      </c>
      <c r="S65" s="12">
        <f t="shared" si="212"/>
        <v>5.7557208555149841E-3</v>
      </c>
      <c r="T65" s="12">
        <f t="shared" si="212"/>
        <v>2.072929814236403E-2</v>
      </c>
      <c r="U65" s="12">
        <f t="shared" si="212"/>
        <v>5.6777114193969375E-3</v>
      </c>
      <c r="V65" s="12">
        <f t="shared" si="212"/>
        <v>7.9665861226845634E-3</v>
      </c>
    </row>
    <row r="66" spans="6:22" x14ac:dyDescent="0.25">
      <c r="F66" s="3"/>
      <c r="G66" s="11">
        <f t="shared" si="207"/>
        <v>0.5</v>
      </c>
      <c r="H66" s="12">
        <f t="shared" ref="H66:V66" si="213">(H38^2+H52^2)^0.5</f>
        <v>37.057992482048057</v>
      </c>
      <c r="I66" s="12">
        <f t="shared" si="213"/>
        <v>17.969524373979013</v>
      </c>
      <c r="J66" s="12">
        <f t="shared" si="213"/>
        <v>24.60469739990069</v>
      </c>
      <c r="K66" s="12">
        <f t="shared" si="213"/>
        <v>9.8172112786430592</v>
      </c>
      <c r="L66" s="12">
        <f t="shared" si="213"/>
        <v>5.0663472345296245</v>
      </c>
      <c r="M66" s="12">
        <f t="shared" si="213"/>
        <v>1.6805963179666514</v>
      </c>
      <c r="N66" s="12">
        <f t="shared" si="213"/>
        <v>0.32670845431330864</v>
      </c>
      <c r="O66" s="12">
        <f t="shared" si="213"/>
        <v>0.13645182197521771</v>
      </c>
      <c r="P66" s="12">
        <f t="shared" si="213"/>
        <v>5.0518928182270814E-2</v>
      </c>
      <c r="Q66" s="12">
        <f t="shared" si="213"/>
        <v>9.5051679185742498E-3</v>
      </c>
      <c r="R66" s="12">
        <f t="shared" si="213"/>
        <v>4.4393819565141691E-3</v>
      </c>
      <c r="S66" s="12">
        <f t="shared" si="213"/>
        <v>1.0509895038664147E-2</v>
      </c>
      <c r="T66" s="12">
        <f t="shared" si="213"/>
        <v>1.5124767308958268E-2</v>
      </c>
      <c r="U66" s="12">
        <f t="shared" si="213"/>
        <v>3.8034358591219736E-3</v>
      </c>
      <c r="V66" s="12">
        <f t="shared" si="213"/>
        <v>2.5012499940120963E-3</v>
      </c>
    </row>
    <row r="67" spans="6:22" x14ac:dyDescent="0.25">
      <c r="F67" s="3"/>
      <c r="G67" s="11">
        <f t="shared" si="207"/>
        <v>0.4</v>
      </c>
      <c r="H67" s="12">
        <f t="shared" ref="H67:V67" si="214">(H39^2+H53^2)^0.5</f>
        <v>31.752255876693212</v>
      </c>
      <c r="I67" s="12">
        <f t="shared" si="214"/>
        <v>13.779393985702528</v>
      </c>
      <c r="J67" s="12">
        <f t="shared" si="214"/>
        <v>11.039658519109993</v>
      </c>
      <c r="K67" s="12">
        <f t="shared" si="214"/>
        <v>7.5019549786897404</v>
      </c>
      <c r="L67" s="12">
        <f t="shared" si="214"/>
        <v>5.5804453150617324</v>
      </c>
      <c r="M67" s="12">
        <f t="shared" si="214"/>
        <v>9.7876690858536786E-2</v>
      </c>
      <c r="N67" s="12">
        <f t="shared" si="214"/>
        <v>0.10376372444158916</v>
      </c>
      <c r="O67" s="12">
        <f t="shared" si="214"/>
        <v>5.9206937242568237E-2</v>
      </c>
      <c r="P67" s="12">
        <f t="shared" si="214"/>
        <v>4.5656264978907367E-2</v>
      </c>
      <c r="Q67" s="12">
        <f t="shared" si="214"/>
        <v>7.9488689706932528E-3</v>
      </c>
      <c r="R67" s="12">
        <f t="shared" si="214"/>
        <v>6.1782347344889613E-3</v>
      </c>
      <c r="S67" s="12">
        <f t="shared" si="214"/>
        <v>9.5279754015903349E-3</v>
      </c>
      <c r="T67" s="12">
        <f t="shared" si="214"/>
        <v>7.8269819167714157E-4</v>
      </c>
      <c r="U67" s="12">
        <f t="shared" si="214"/>
        <v>1.1935851955614395E-3</v>
      </c>
      <c r="V67" s="12">
        <f t="shared" si="214"/>
        <v>7.8269819167714157E-4</v>
      </c>
    </row>
    <row r="68" spans="6:22" x14ac:dyDescent="0.25">
      <c r="F68" s="3"/>
      <c r="G68" s="11">
        <f t="shared" si="207"/>
        <v>0.30000000000000004</v>
      </c>
      <c r="H68" s="12">
        <f t="shared" ref="H68:V68" si="215">(H40^2+H54^2)^0.5</f>
        <v>31.257382754990157</v>
      </c>
      <c r="I68" s="12">
        <f t="shared" si="215"/>
        <v>12.966537889524433</v>
      </c>
      <c r="J68" s="12">
        <f t="shared" si="215"/>
        <v>9.3497775234860558</v>
      </c>
      <c r="K68" s="12">
        <f t="shared" si="215"/>
        <v>6.8596370218877141</v>
      </c>
      <c r="L68" s="12">
        <f t="shared" si="215"/>
        <v>5.6601711429230104</v>
      </c>
      <c r="M68" s="12">
        <f t="shared" si="215"/>
        <v>4.4772592357405536E-2</v>
      </c>
      <c r="N68" s="12">
        <f t="shared" si="215"/>
        <v>3.7935735682955919E-2</v>
      </c>
      <c r="O68" s="12">
        <f t="shared" si="215"/>
        <v>2.9772803812948629E-2</v>
      </c>
      <c r="P68" s="12">
        <f t="shared" si="215"/>
        <v>6.9440510649062736E-3</v>
      </c>
      <c r="Q68" s="12">
        <f t="shared" si="215"/>
        <v>5.4583120973983488E-3</v>
      </c>
      <c r="R68" s="12">
        <f t="shared" si="215"/>
        <v>7.552313715298898E-3</v>
      </c>
      <c r="S68" s="12">
        <f t="shared" si="215"/>
        <v>8.9158948776791522E-3</v>
      </c>
      <c r="T68" s="12">
        <f t="shared" si="215"/>
        <v>2.4604135244495924E-4</v>
      </c>
      <c r="U68" s="12">
        <f t="shared" si="215"/>
        <v>3.7393658447376399E-4</v>
      </c>
      <c r="V68" s="12">
        <f t="shared" si="215"/>
        <v>2.4604135244495924E-4</v>
      </c>
    </row>
    <row r="69" spans="6:22" x14ac:dyDescent="0.25">
      <c r="F69" s="3"/>
      <c r="G69" s="11">
        <f t="shared" si="207"/>
        <v>0.2</v>
      </c>
      <c r="H69" s="12">
        <f t="shared" ref="H69:V69" si="216">(H41^2+H55^2)^0.5</f>
        <v>36.530912666800617</v>
      </c>
      <c r="I69" s="12">
        <f t="shared" si="216"/>
        <v>16.692549357990899</v>
      </c>
      <c r="J69" s="12">
        <f t="shared" si="216"/>
        <v>12.58829960584224</v>
      </c>
      <c r="K69" s="12">
        <f t="shared" si="216"/>
        <v>8.3984167070313394</v>
      </c>
      <c r="L69" s="12">
        <f t="shared" si="216"/>
        <v>5.5521442628127193</v>
      </c>
      <c r="M69" s="12">
        <f t="shared" si="216"/>
        <v>2.2724562874891607E-2</v>
      </c>
      <c r="N69" s="12">
        <f t="shared" si="216"/>
        <v>1.8103189336291094E-2</v>
      </c>
      <c r="O69" s="12">
        <f t="shared" si="216"/>
        <v>1.9634241773350301E-2</v>
      </c>
      <c r="P69" s="12">
        <f t="shared" si="216"/>
        <v>1.3905066700137211E-2</v>
      </c>
      <c r="Q69" s="12">
        <f t="shared" si="216"/>
        <v>1.1374131230550354E-2</v>
      </c>
      <c r="R69" s="12">
        <f t="shared" si="216"/>
        <v>9.9470296324379766E-3</v>
      </c>
      <c r="S69" s="12">
        <f t="shared" si="216"/>
        <v>8.0739711695227596E-3</v>
      </c>
      <c r="T69" s="12">
        <f t="shared" si="216"/>
        <v>7.6456073336219382E-5</v>
      </c>
      <c r="U69" s="12">
        <f t="shared" si="216"/>
        <v>1.1839897794202495E-4</v>
      </c>
      <c r="V69" s="12">
        <f t="shared" si="216"/>
        <v>7.6456073336219382E-5</v>
      </c>
    </row>
    <row r="70" spans="6:22" x14ac:dyDescent="0.25">
      <c r="F70" s="3"/>
      <c r="G70" s="11">
        <f>G71+B$2</f>
        <v>0.1</v>
      </c>
      <c r="H70" s="12">
        <f t="shared" ref="H70:V70" si="217">(H42^2+H56^2)^0.5</f>
        <v>113.18059666238698</v>
      </c>
      <c r="I70" s="12">
        <f t="shared" si="217"/>
        <v>33.668469878604917</v>
      </c>
      <c r="J70" s="12">
        <f t="shared" si="217"/>
        <v>19.93871140300379</v>
      </c>
      <c r="K70" s="12">
        <f t="shared" si="217"/>
        <v>11.272742478058813</v>
      </c>
      <c r="L70" s="12">
        <f t="shared" si="217"/>
        <v>5.5377914386845735</v>
      </c>
      <c r="M70" s="12">
        <f t="shared" si="217"/>
        <v>1.0085360801344671E-2</v>
      </c>
      <c r="N70" s="12">
        <f t="shared" si="217"/>
        <v>1.1731700654819172E-2</v>
      </c>
      <c r="O70" s="12">
        <f t="shared" si="217"/>
        <v>1.6565666898620653E-2</v>
      </c>
      <c r="P70" s="12">
        <f t="shared" si="217"/>
        <v>1.6555805230979246E-2</v>
      </c>
      <c r="Q70" s="12">
        <f t="shared" si="217"/>
        <v>1.4872220764672445E-2</v>
      </c>
      <c r="R70" s="12">
        <f t="shared" si="217"/>
        <v>1.1814765870918103E-2</v>
      </c>
      <c r="S70" s="12">
        <f t="shared" si="217"/>
        <v>7.2606726663119884E-3</v>
      </c>
      <c r="T70" s="12">
        <f t="shared" si="217"/>
        <v>2.1925889433432315E-5</v>
      </c>
      <c r="U70" s="12">
        <f t="shared" si="217"/>
        <v>3.9768944471284549E-5</v>
      </c>
      <c r="V70" s="12">
        <f t="shared" si="217"/>
        <v>2.1925889433432315E-5</v>
      </c>
    </row>
    <row r="71" spans="6:22" x14ac:dyDescent="0.25">
      <c r="F71" s="3"/>
      <c r="G71" s="11">
        <v>0</v>
      </c>
      <c r="H71" s="12">
        <f t="shared" ref="H71:V71" si="218">(H43^2+H57^2)^0.5</f>
        <v>100</v>
      </c>
      <c r="I71" s="12">
        <f t="shared" si="218"/>
        <v>46.992005689198891</v>
      </c>
      <c r="J71" s="12">
        <f t="shared" si="218"/>
        <v>24.498931000379294</v>
      </c>
      <c r="K71" s="12">
        <f t="shared" si="218"/>
        <v>12.861993605400883</v>
      </c>
      <c r="L71" s="12">
        <f t="shared" si="218"/>
        <v>5.6038265912863823</v>
      </c>
      <c r="M71" s="12">
        <f t="shared" si="218"/>
        <v>0</v>
      </c>
      <c r="N71" s="12">
        <f t="shared" si="218"/>
        <v>1.0085360801344671E-2</v>
      </c>
      <c r="O71" s="12">
        <f t="shared" si="218"/>
        <v>1.5927059455181272E-2</v>
      </c>
      <c r="P71" s="12">
        <f t="shared" si="218"/>
        <v>1.7313332028663756E-2</v>
      </c>
      <c r="Q71" s="12">
        <f t="shared" si="218"/>
        <v>1.6003475280065554E-2</v>
      </c>
      <c r="R71" s="12">
        <f t="shared" si="218"/>
        <v>1.2476399138580643E-2</v>
      </c>
      <c r="S71" s="12">
        <f t="shared" si="218"/>
        <v>6.9118354694879041E-3</v>
      </c>
      <c r="T71" s="12">
        <f t="shared" si="218"/>
        <v>0</v>
      </c>
      <c r="U71" s="12">
        <f t="shared" si="218"/>
        <v>2.1925889433432315E-5</v>
      </c>
      <c r="V71" s="12">
        <f t="shared" si="218"/>
        <v>0</v>
      </c>
    </row>
    <row r="72" spans="6:22" x14ac:dyDescent="0.25">
      <c r="F72" s="3"/>
      <c r="G72" s="10"/>
      <c r="H72" s="11">
        <v>0</v>
      </c>
      <c r="I72" s="11">
        <f>H72+$B$2</f>
        <v>0.1</v>
      </c>
      <c r="J72" s="11">
        <f t="shared" ref="J72:V72" si="219">I72+$B$2</f>
        <v>0.2</v>
      </c>
      <c r="K72" s="11">
        <f t="shared" si="219"/>
        <v>0.30000000000000004</v>
      </c>
      <c r="L72" s="11">
        <f t="shared" si="219"/>
        <v>0.4</v>
      </c>
      <c r="M72" s="11">
        <f t="shared" si="219"/>
        <v>0.5</v>
      </c>
      <c r="N72" s="11">
        <f t="shared" si="219"/>
        <v>0.6</v>
      </c>
      <c r="O72" s="11">
        <f t="shared" si="219"/>
        <v>0.7</v>
      </c>
      <c r="P72" s="11">
        <f t="shared" si="219"/>
        <v>0.79999999999999993</v>
      </c>
      <c r="Q72" s="11">
        <f t="shared" si="219"/>
        <v>0.89999999999999991</v>
      </c>
      <c r="R72" s="11">
        <f t="shared" si="219"/>
        <v>0.99999999999999989</v>
      </c>
      <c r="S72" s="11">
        <f t="shared" si="219"/>
        <v>1.0999999999999999</v>
      </c>
      <c r="T72" s="11">
        <f t="shared" si="219"/>
        <v>1.2</v>
      </c>
      <c r="U72" s="11">
        <f t="shared" si="219"/>
        <v>1.3</v>
      </c>
      <c r="V72" s="11">
        <f t="shared" si="219"/>
        <v>1.4000000000000001</v>
      </c>
    </row>
  </sheetData>
  <conditionalFormatting sqref="H19:V2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theme="4" tint="0.39997558519241921"/>
        <color rgb="FFFFFF00"/>
      </colorScale>
    </cfRule>
  </conditionalFormatting>
  <conditionalFormatting sqref="H61:V71">
    <cfRule type="colorScale" priority="10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6">
      <colorScale>
        <cfvo type="min"/>
        <cfvo type="max"/>
        <color theme="4" tint="0.79998168889431442"/>
        <color theme="4"/>
      </colorScale>
    </cfRule>
    <cfRule type="colorScale" priority="4">
      <colorScale>
        <cfvo type="min"/>
        <cfvo type="max"/>
        <color theme="9"/>
        <color rgb="FFEDAFD5"/>
      </colorScale>
    </cfRule>
    <cfRule type="colorScale" priority="3">
      <colorScale>
        <cfvo type="min"/>
        <cfvo type="max"/>
        <color rgb="FFBA6EA8"/>
        <color rgb="FFBAA7F5"/>
      </colorScale>
    </cfRule>
    <cfRule type="colorScale" priority="2">
      <colorScale>
        <cfvo type="min"/>
        <cfvo type="max"/>
        <color theme="5" tint="0.39997558519241921"/>
        <color rgb="FFBA6EA8"/>
      </colorScale>
    </cfRule>
    <cfRule type="colorScale" priority="1">
      <colorScale>
        <cfvo type="min"/>
        <cfvo type="max"/>
        <color rgb="FFBA6EA8"/>
        <color rgb="FFFFFF00"/>
      </colorScale>
    </cfRule>
  </conditionalFormatting>
  <pageMargins left="0.7" right="0.7" top="0.75" bottom="0.75" header="0.3" footer="0.3"/>
  <pageSetup paperSize="9" orientation="portrait" r:id="rId1"/>
  <ignoredErrors>
    <ignoredError sqref="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Михаил</cp:lastModifiedBy>
  <dcterms:created xsi:type="dcterms:W3CDTF">2021-05-16T19:11:29Z</dcterms:created>
  <dcterms:modified xsi:type="dcterms:W3CDTF">2021-06-17T13:00:18Z</dcterms:modified>
</cp:coreProperties>
</file>